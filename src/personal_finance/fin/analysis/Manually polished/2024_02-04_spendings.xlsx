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Cat" sheetId="5" state="visible" r:id="rId5"/>
    <sheet name="Analysis" sheetId="6" state="visible" r:id="rId6"/>
  </sheets>
  <calcPr fullCalcOnLoad="1"/>
</workbook>
</file>

<file path=xl/sharedStrings.xml><?xml version="1.0" encoding="utf-8"?>
<sst xmlns="http://schemas.openxmlformats.org/spreadsheetml/2006/main" count="380" uniqueCount="380">
  <si>
    <t>DATA</t>
  </si>
  <si>
    <t>SUMA</t>
  </si>
  <si>
    <t xml:space="preserve">MOKĖTOJO ARBA GAVĖJO PAVADINIMAS</t>
  </si>
  <si>
    <t xml:space="preserve">MOKĖJIMO PASKIRTIS</t>
  </si>
  <si>
    <t>2024-01-07</t>
  </si>
  <si>
    <t xml:space="preserve">CHATGPT SUBSCRIPTION\548</t>
  </si>
  <si>
    <t xml:space="preserve">06/01/2024 10:08</t>
  </si>
  <si>
    <t>2024-01-26</t>
  </si>
  <si>
    <t xml:space="preserve">STEAMGAMES.COM 4259522\Roedingsmarkt</t>
  </si>
  <si>
    <t xml:space="preserve">25/01/2024 22:02</t>
  </si>
  <si>
    <t>2024-01-28</t>
  </si>
  <si>
    <t xml:space="preserve">SEB bankas</t>
  </si>
  <si>
    <t xml:space="preserve">Kortelės ...952726</t>
  </si>
  <si>
    <t>2024-01-01</t>
  </si>
  <si>
    <t xml:space="preserve">Nemuno vaistinė</t>
  </si>
  <si>
    <t xml:space="preserve">PSD2 -</t>
  </si>
  <si>
    <t xml:space="preserve">IRMANTAS ADOMAITIS</t>
  </si>
  <si>
    <t xml:space="preserve">netf 2023,</t>
  </si>
  <si>
    <t>2024-01-02</t>
  </si>
  <si>
    <t xml:space="preserve">SMS banko</t>
  </si>
  <si>
    <t xml:space="preserve">VšĮ Mėlyna</t>
  </si>
  <si>
    <t xml:space="preserve">Parama. Iki</t>
  </si>
  <si>
    <t>BLUE-YELLOW.LT</t>
  </si>
  <si>
    <t xml:space="preserve">01/01/2024 15:32</t>
  </si>
  <si>
    <t>2024-01-03</t>
  </si>
  <si>
    <t xml:space="preserve">UAB SVIEZIA</t>
  </si>
  <si>
    <t xml:space="preserve">02/01/2024 08:04</t>
  </si>
  <si>
    <t xml:space="preserve">UAB SKONIO</t>
  </si>
  <si>
    <t xml:space="preserve">02/01/2024 12:01</t>
  </si>
  <si>
    <t>2024-01-04</t>
  </si>
  <si>
    <t xml:space="preserve">431322-SUMANU paslaugų</t>
  </si>
  <si>
    <t xml:space="preserve">03/01/2024 12:09</t>
  </si>
  <si>
    <t xml:space="preserve">03/01/2024 08:03</t>
  </si>
  <si>
    <t xml:space="preserve">TELE2 UAB</t>
  </si>
  <si>
    <t xml:space="preserve">moketojo kodas:</t>
  </si>
  <si>
    <t>2024-01-05</t>
  </si>
  <si>
    <t xml:space="preserve">ASOS.COM\HERIKERBERGWEG 238\1101CM</t>
  </si>
  <si>
    <t xml:space="preserve">03/01/2024 22:04</t>
  </si>
  <si>
    <t>2024-01-06</t>
  </si>
  <si>
    <t xml:space="preserve">05/01/2024 20:15</t>
  </si>
  <si>
    <t xml:space="preserve">UAB Barbora\Ozo</t>
  </si>
  <si>
    <t xml:space="preserve">05/01/2024 16:32</t>
  </si>
  <si>
    <t xml:space="preserve">06/01/2024 00:06</t>
  </si>
  <si>
    <t>2024-01-09</t>
  </si>
  <si>
    <t xml:space="preserve">pildyk.lt\pildyk.lt\VILNIUS\UNKNOWN LTU</t>
  </si>
  <si>
    <t xml:space="preserve">08/01/2024 12:13</t>
  </si>
  <si>
    <t xml:space="preserve">08/01/2024 10:31</t>
  </si>
  <si>
    <t>2024-01-11</t>
  </si>
  <si>
    <t xml:space="preserve">10/01/2024 11:56</t>
  </si>
  <si>
    <t xml:space="preserve">10/01/2024 08:08</t>
  </si>
  <si>
    <t>2024-01-12</t>
  </si>
  <si>
    <t xml:space="preserve">11/01/2024 08:06</t>
  </si>
  <si>
    <t xml:space="preserve">11/01/2024 12:03</t>
  </si>
  <si>
    <t xml:space="preserve">11/01/2024 18:09</t>
  </si>
  <si>
    <t>2024-01-13</t>
  </si>
  <si>
    <t xml:space="preserve">OKAS DOMINYKAS</t>
  </si>
  <si>
    <t xml:space="preserve">internetas, dok.</t>
  </si>
  <si>
    <t xml:space="preserve">UAB KESKO</t>
  </si>
  <si>
    <t>2024-01-14</t>
  </si>
  <si>
    <t>2024-01-16</t>
  </si>
  <si>
    <t xml:space="preserve">15/01/2024 20:03</t>
  </si>
  <si>
    <t>2024-01-17</t>
  </si>
  <si>
    <t xml:space="preserve">16/01/2024 15:22</t>
  </si>
  <si>
    <t>2024-01-19</t>
  </si>
  <si>
    <t xml:space="preserve">18/01/2024 08:10</t>
  </si>
  <si>
    <t xml:space="preserve">18/01/2024 11:56</t>
  </si>
  <si>
    <t>2024-01-21</t>
  </si>
  <si>
    <t xml:space="preserve">19/01/2024 11:58</t>
  </si>
  <si>
    <t xml:space="preserve">19/01/2024 08:08</t>
  </si>
  <si>
    <t xml:space="preserve">EXPRESS PIZZA</t>
  </si>
  <si>
    <t xml:space="preserve">20/01/2024 19:06</t>
  </si>
  <si>
    <t xml:space="preserve">MAXIMA LT,</t>
  </si>
  <si>
    <t xml:space="preserve">20/01/2024 19:20</t>
  </si>
  <si>
    <t>2024-01-22</t>
  </si>
  <si>
    <t xml:space="preserve">21/01/2024 16:23</t>
  </si>
  <si>
    <t>2024-01-23</t>
  </si>
  <si>
    <t xml:space="preserve">22/01/2024 20:05</t>
  </si>
  <si>
    <t xml:space="preserve">UAB ELEKTRUM</t>
  </si>
  <si>
    <t xml:space="preserve">Sutarties Nr.:</t>
  </si>
  <si>
    <t>2024-01-24</t>
  </si>
  <si>
    <t xml:space="preserve">23/01/2024 20:06</t>
  </si>
  <si>
    <t>2024-01-27</t>
  </si>
  <si>
    <t xml:space="preserve">26/01/2024 12:00</t>
  </si>
  <si>
    <t xml:space="preserve">CONTRIBEE.COM\Partizanu g.</t>
  </si>
  <si>
    <t xml:space="preserve">26/01/2024 19:02</t>
  </si>
  <si>
    <t xml:space="preserve">27/01/2024 08:14</t>
  </si>
  <si>
    <t xml:space="preserve">27/01/2024 12:03</t>
  </si>
  <si>
    <t>2024-01-29</t>
  </si>
  <si>
    <t xml:space="preserve">28/01/2024 14:53</t>
  </si>
  <si>
    <t>2024-01-30</t>
  </si>
  <si>
    <t xml:space="preserve">29/01/2024 08:05</t>
  </si>
  <si>
    <t xml:space="preserve">29/01/2024 11:55</t>
  </si>
  <si>
    <t>2024-01-31</t>
  </si>
  <si>
    <t xml:space="preserve">30/01/2024 20:04</t>
  </si>
  <si>
    <t>BOLT.EU</t>
  </si>
  <si>
    <t xml:space="preserve">30/01/2024 10:57</t>
  </si>
  <si>
    <t>Column1</t>
  </si>
  <si>
    <t>2024-02-06</t>
  </si>
  <si>
    <t xml:space="preserve">AMZN Mktp</t>
  </si>
  <si>
    <t xml:space="preserve">05/02/2024 00:00</t>
  </si>
  <si>
    <t>2024-02-10</t>
  </si>
  <si>
    <t xml:space="preserve">Blizzard Entertainment\145</t>
  </si>
  <si>
    <t xml:space="preserve">09/02/2024 12:53</t>
  </si>
  <si>
    <t>2024-02-03</t>
  </si>
  <si>
    <t xml:space="preserve">02/02/2024 20:39</t>
  </si>
  <si>
    <t xml:space="preserve">02/02/2024 18:27</t>
  </si>
  <si>
    <t>2024-02-04</t>
  </si>
  <si>
    <t xml:space="preserve">04/02/2024 02:54</t>
  </si>
  <si>
    <t>2024-02-11</t>
  </si>
  <si>
    <t xml:space="preserve">11/02/2024 00:58</t>
  </si>
  <si>
    <t>2024-02-18</t>
  </si>
  <si>
    <t xml:space="preserve">18/02/2024 01:41</t>
  </si>
  <si>
    <t>2024-02-25</t>
  </si>
  <si>
    <t xml:space="preserve">25/02/2024 02:43</t>
  </si>
  <si>
    <t>2024-02-27</t>
  </si>
  <si>
    <t xml:space="preserve">26/02/2024 19:02</t>
  </si>
  <si>
    <t xml:space="preserve">GREET\J. Basanaviciaus</t>
  </si>
  <si>
    <t xml:space="preserve">03/02/2024 12:06</t>
  </si>
  <si>
    <t xml:space="preserve">IKI NEMEZIS\SIROKOMLES</t>
  </si>
  <si>
    <t xml:space="preserve">03/02/2024 19:36</t>
  </si>
  <si>
    <t xml:space="preserve">10/02/2024 21:16</t>
  </si>
  <si>
    <t xml:space="preserve">17/02/2024 18:31</t>
  </si>
  <si>
    <t xml:space="preserve">LIEPKALNIO G.</t>
  </si>
  <si>
    <t xml:space="preserve">Lėšų nurašymas</t>
  </si>
  <si>
    <t>2024-02-12</t>
  </si>
  <si>
    <t xml:space="preserve">NORFA -</t>
  </si>
  <si>
    <t xml:space="preserve">10/02/2024 17:57</t>
  </si>
  <si>
    <t xml:space="preserve">OKAITĖ VILMA</t>
  </si>
  <si>
    <t xml:space="preserve">Mokėjimas mobiliąja</t>
  </si>
  <si>
    <t>2024-02-13</t>
  </si>
  <si>
    <t>2024-02-08</t>
  </si>
  <si>
    <t xml:space="preserve">07/02/2024 12:12</t>
  </si>
  <si>
    <t>2024-02-28</t>
  </si>
  <si>
    <t>2024-02-07</t>
  </si>
  <si>
    <t>2024-02-16</t>
  </si>
  <si>
    <t>2024-02-20</t>
  </si>
  <si>
    <t>2024-02-24</t>
  </si>
  <si>
    <t xml:space="preserve">UAB BARBORA</t>
  </si>
  <si>
    <t xml:space="preserve">15/02/2024 17:44</t>
  </si>
  <si>
    <t xml:space="preserve">19/02/2024 16:05</t>
  </si>
  <si>
    <t xml:space="preserve">23/02/2024 13:34</t>
  </si>
  <si>
    <t xml:space="preserve">27/02/2024 19:23</t>
  </si>
  <si>
    <t>2024-02-01</t>
  </si>
  <si>
    <t xml:space="preserve">01/02/2024 05:27</t>
  </si>
  <si>
    <t xml:space="preserve">06/02/2024 19:20</t>
  </si>
  <si>
    <t xml:space="preserve">05/02/2024 12:01</t>
  </si>
  <si>
    <t xml:space="preserve">06/02/2024 11:55</t>
  </si>
  <si>
    <t>2024-02-14</t>
  </si>
  <si>
    <t xml:space="preserve">13/02/2024 10:18</t>
  </si>
  <si>
    <t>2024-02-15</t>
  </si>
  <si>
    <t xml:space="preserve">14/02/2024 12:10</t>
  </si>
  <si>
    <t>2024-02-22</t>
  </si>
  <si>
    <t xml:space="preserve">21/02/2024 11:48</t>
  </si>
  <si>
    <t>2024-02-23</t>
  </si>
  <si>
    <t xml:space="preserve">22/02/2024 12:03</t>
  </si>
  <si>
    <t xml:space="preserve">31/01/2024 20:06</t>
  </si>
  <si>
    <t xml:space="preserve">05/02/2024 08:08</t>
  </si>
  <si>
    <t xml:space="preserve">06/02/2024 08:16</t>
  </si>
  <si>
    <t xml:space="preserve">07/02/2024 20:18</t>
  </si>
  <si>
    <t>2024-02-09</t>
  </si>
  <si>
    <t xml:space="preserve">08/02/2024 20:05</t>
  </si>
  <si>
    <t xml:space="preserve">13/02/2024 08:07</t>
  </si>
  <si>
    <t xml:space="preserve">14/02/2024 08:09</t>
  </si>
  <si>
    <t xml:space="preserve">21/02/2024 08:03</t>
  </si>
  <si>
    <t xml:space="preserve">22/02/2024 08:12</t>
  </si>
  <si>
    <t xml:space="preserve">26/02/2024 20:09</t>
  </si>
  <si>
    <t>2024-02-02</t>
  </si>
  <si>
    <t>2024-03-10</t>
  </si>
  <si>
    <t xml:space="preserve">09/03/2024 12:54</t>
  </si>
  <si>
    <t>2024-03-27</t>
  </si>
  <si>
    <t xml:space="preserve">26/03/2024 20:03</t>
  </si>
  <si>
    <t>2024-03-28</t>
  </si>
  <si>
    <t>DPD</t>
  </si>
  <si>
    <t xml:space="preserve">27/03/2024 13:29</t>
  </si>
  <si>
    <t>2024-03-30</t>
  </si>
  <si>
    <t xml:space="preserve">29/03/2024 12:16</t>
  </si>
  <si>
    <t>2024-03-13</t>
  </si>
  <si>
    <t>2024-03-08</t>
  </si>
  <si>
    <t xml:space="preserve">MIGRACIJOS DEP.</t>
  </si>
  <si>
    <t xml:space="preserve">07/03/2024 14:10</t>
  </si>
  <si>
    <t>2024-03-31</t>
  </si>
  <si>
    <t xml:space="preserve">30/03/2024 13:27</t>
  </si>
  <si>
    <t>2024-03-09</t>
  </si>
  <si>
    <t xml:space="preserve">08/03/2024 12:11</t>
  </si>
  <si>
    <t>2024-03-03</t>
  </si>
  <si>
    <t>2024-03-04</t>
  </si>
  <si>
    <t>2024-03-07</t>
  </si>
  <si>
    <t>2024-03-14</t>
  </si>
  <si>
    <t>2024-03-21</t>
  </si>
  <si>
    <t xml:space="preserve">06/03/2024 19:16</t>
  </si>
  <si>
    <t xml:space="preserve">12/03/2024 14:06</t>
  </si>
  <si>
    <t xml:space="preserve">20/03/2024 13:53</t>
  </si>
  <si>
    <t xml:space="preserve">27/03/2024 16:59</t>
  </si>
  <si>
    <t>2024-03-01</t>
  </si>
  <si>
    <t xml:space="preserve">29/02/2024 11:55</t>
  </si>
  <si>
    <t xml:space="preserve">01/03/2024 12:00</t>
  </si>
  <si>
    <t xml:space="preserve">08/03/2024 11:57</t>
  </si>
  <si>
    <t>2024-03-19</t>
  </si>
  <si>
    <t xml:space="preserve">18/03/2024 12:00</t>
  </si>
  <si>
    <t>2024-03-20</t>
  </si>
  <si>
    <t xml:space="preserve">19/03/2024 11:58</t>
  </si>
  <si>
    <t xml:space="preserve">29/02/2024 08:03</t>
  </si>
  <si>
    <t xml:space="preserve">02/03/2024 08:14</t>
  </si>
  <si>
    <t>2024-03-05</t>
  </si>
  <si>
    <t xml:space="preserve">04/03/2024 20:08</t>
  </si>
  <si>
    <t>2024-03-06</t>
  </si>
  <si>
    <t xml:space="preserve">05/03/2024 20:05</t>
  </si>
  <si>
    <t xml:space="preserve">08/03/2024 08:11</t>
  </si>
  <si>
    <t>2024-03-11</t>
  </si>
  <si>
    <t xml:space="preserve">09/03/2024 08:10</t>
  </si>
  <si>
    <t xml:space="preserve">12/03/2024 20:03</t>
  </si>
  <si>
    <t xml:space="preserve">13/03/2024 00:24</t>
  </si>
  <si>
    <t>2024-03-15</t>
  </si>
  <si>
    <t xml:space="preserve">14/03/2024 00:09</t>
  </si>
  <si>
    <t xml:space="preserve">19/03/2024 08:14</t>
  </si>
  <si>
    <t xml:space="preserve">20/03/2024 20:11</t>
  </si>
  <si>
    <t>2024-03-22</t>
  </si>
  <si>
    <t xml:space="preserve">20/03/2024 23:56</t>
  </si>
  <si>
    <t xml:space="preserve">21/03/2024 20:08</t>
  </si>
  <si>
    <t>2024-03-23</t>
  </si>
  <si>
    <t xml:space="preserve">22/03/2024 00:10</t>
  </si>
  <si>
    <t>2024-04-21</t>
  </si>
  <si>
    <t xml:space="preserve">ALGIRDAS SALIAMONAS</t>
  </si>
  <si>
    <t xml:space="preserve">skola ,</t>
  </si>
  <si>
    <t>2024-04-10</t>
  </si>
  <si>
    <t xml:space="preserve">09/04/2024 15:42</t>
  </si>
  <si>
    <t xml:space="preserve">21/04/2024 02:01</t>
  </si>
  <si>
    <t>2024-04-15</t>
  </si>
  <si>
    <t xml:space="preserve">CAMELIA VAISTINE\VIKINGU</t>
  </si>
  <si>
    <t xml:space="preserve">14/04/2024 12:52</t>
  </si>
  <si>
    <t>2024-04-27</t>
  </si>
  <si>
    <t xml:space="preserve">26/04/2024 20:03</t>
  </si>
  <si>
    <t xml:space="preserve">20/04/2024 18:25</t>
  </si>
  <si>
    <t>2024-04-04</t>
  </si>
  <si>
    <t>2024-04-13</t>
  </si>
  <si>
    <t>2024-04-08</t>
  </si>
  <si>
    <t xml:space="preserve">07/04/2024 12:10</t>
  </si>
  <si>
    <t xml:space="preserve">Revolut**8214*\70 SIR</t>
  </si>
  <si>
    <t xml:space="preserve">26/04/2024 21:58</t>
  </si>
  <si>
    <t>2024-04-02</t>
  </si>
  <si>
    <t>2024-04-03</t>
  </si>
  <si>
    <t>2024-04-06</t>
  </si>
  <si>
    <t>2024-04-14</t>
  </si>
  <si>
    <t>2024-04-16</t>
  </si>
  <si>
    <t>2024-04-19</t>
  </si>
  <si>
    <t>2024-04-25</t>
  </si>
  <si>
    <t>2024-04-30</t>
  </si>
  <si>
    <t>2024-04-11</t>
  </si>
  <si>
    <t xml:space="preserve">STEAM PURCHASE</t>
  </si>
  <si>
    <t xml:space="preserve">09/04/2024 17:07</t>
  </si>
  <si>
    <t xml:space="preserve">01/04/2024 22:32</t>
  </si>
  <si>
    <t xml:space="preserve">07/04/2024 16:26</t>
  </si>
  <si>
    <t xml:space="preserve">13/04/2024 17:28</t>
  </si>
  <si>
    <t xml:space="preserve">18/04/2024 13:37</t>
  </si>
  <si>
    <t>2024-04-24</t>
  </si>
  <si>
    <t xml:space="preserve">24/04/2024 05:50</t>
  </si>
  <si>
    <t xml:space="preserve">29/04/2024 21:27</t>
  </si>
  <si>
    <t>2024-04-05</t>
  </si>
  <si>
    <t xml:space="preserve">03/04/2024 11:58</t>
  </si>
  <si>
    <t xml:space="preserve">04/04/2024 11:55</t>
  </si>
  <si>
    <t>2024-04-12</t>
  </si>
  <si>
    <t xml:space="preserve">11/04/2024 12:05</t>
  </si>
  <si>
    <t xml:space="preserve">12/04/2024 12:08</t>
  </si>
  <si>
    <t xml:space="preserve">19/04/2024 12:03</t>
  </si>
  <si>
    <t>2024-04-23</t>
  </si>
  <si>
    <t xml:space="preserve">22/04/2024 12:05</t>
  </si>
  <si>
    <t xml:space="preserve">29/04/2024 12:07</t>
  </si>
  <si>
    <t xml:space="preserve">03/04/2024 07:55</t>
  </si>
  <si>
    <t xml:space="preserve">06/04/2024 00:27</t>
  </si>
  <si>
    <t>2024-04-09</t>
  </si>
  <si>
    <t xml:space="preserve">08/04/2024 19:48</t>
  </si>
  <si>
    <t xml:space="preserve">11/04/2024 08:03</t>
  </si>
  <si>
    <t xml:space="preserve">12/04/2024 08:04</t>
  </si>
  <si>
    <t xml:space="preserve">13/04/2024 08:02</t>
  </si>
  <si>
    <t xml:space="preserve">15/04/2024 20:09</t>
  </si>
  <si>
    <t>2024-04-17</t>
  </si>
  <si>
    <t xml:space="preserve">16/04/2024 20:03</t>
  </si>
  <si>
    <t>2024-04-18</t>
  </si>
  <si>
    <t xml:space="preserve">17/04/2024 00:13</t>
  </si>
  <si>
    <t xml:space="preserve">20/04/2024 08:09</t>
  </si>
  <si>
    <t xml:space="preserve">19/04/2024 08:07</t>
  </si>
  <si>
    <t xml:space="preserve">22/04/2024 07:59</t>
  </si>
  <si>
    <t xml:space="preserve">24/04/2024 20:05</t>
  </si>
  <si>
    <t>2024-04-26</t>
  </si>
  <si>
    <t xml:space="preserve">25/04/2024 00:03</t>
  </si>
  <si>
    <t xml:space="preserve">29/04/2024 08:39</t>
  </si>
  <si>
    <t xml:space="preserve">Unique Values</t>
  </si>
  <si>
    <t xml:space="preserve">Unnamed: 1</t>
  </si>
  <si>
    <t>Sub-category</t>
  </si>
  <si>
    <t>Category</t>
  </si>
  <si>
    <t xml:space="preserve">Unnamed: 4</t>
  </si>
  <si>
    <t>Sub-category.1</t>
  </si>
  <si>
    <t>Category.1</t>
  </si>
  <si>
    <t xml:space="preserve">VšĮ Mėlyna ir geltona</t>
  </si>
  <si>
    <t>Mortgage/Rent</t>
  </si>
  <si>
    <t>HOME</t>
  </si>
  <si>
    <t xml:space="preserve">Interest Income</t>
  </si>
  <si>
    <t>INCOME</t>
  </si>
  <si>
    <t xml:space="preserve">Home/Rental Insurance</t>
  </si>
  <si>
    <t>Dividends</t>
  </si>
  <si>
    <t xml:space="preserve">ASOS.COM\HERIKERBERGWEG 238\1101CM AMSTER\1101CM NLD</t>
  </si>
  <si>
    <t xml:space="preserve">Electricity &amp; Electronics</t>
  </si>
  <si>
    <t>Refunds/Reimbursements</t>
  </si>
  <si>
    <t>Gas/Oil</t>
  </si>
  <si>
    <t>Business</t>
  </si>
  <si>
    <t xml:space="preserve">UAB SKONIO SPALVOS \NEMEZIO</t>
  </si>
  <si>
    <t>Water/Sewer/Trash</t>
  </si>
  <si>
    <t>Misc.</t>
  </si>
  <si>
    <t>Phone</t>
  </si>
  <si>
    <t>Salary/Wages</t>
  </si>
  <si>
    <t xml:space="preserve">UAB KESKO SENUKAI DIGITAL</t>
  </si>
  <si>
    <t>Cable/Satellite</t>
  </si>
  <si>
    <t xml:space="preserve">IKI NEMEZIS\SIROKOMLES G. 17\NEMEZIS\UNKNOWN</t>
  </si>
  <si>
    <t>Internet</t>
  </si>
  <si>
    <t>Furnishing/Appliances</t>
  </si>
  <si>
    <t>Lawn/Garden</t>
  </si>
  <si>
    <t xml:space="preserve">NORFA - TB \BERNOTISKES</t>
  </si>
  <si>
    <t>Maintenance/Improvements</t>
  </si>
  <si>
    <t xml:space="preserve">Nemuno vaistinė UAB</t>
  </si>
  <si>
    <t>Other</t>
  </si>
  <si>
    <t xml:space="preserve">MAXIMA LT, X689\MORAVU G.</t>
  </si>
  <si>
    <t xml:space="preserve">UAB Barbora\Ozo g. 25\Vilnius\LT-07150</t>
  </si>
  <si>
    <t>Airfare</t>
  </si>
  <si>
    <t>VACATION/HOLIDAY</t>
  </si>
  <si>
    <t xml:space="preserve">UAB BARBORA AKROPOLISX\OZO G.</t>
  </si>
  <si>
    <t>Accommodations</t>
  </si>
  <si>
    <t xml:space="preserve">UAB BARBORA X016 \LIEPKALNIO</t>
  </si>
  <si>
    <t>Food</t>
  </si>
  <si>
    <t xml:space="preserve">CONTRIBEE.COM\Partizanu g. 61-806\KAUNAS\LT-49282 DUBLTU</t>
  </si>
  <si>
    <t xml:space="preserve">Gifts / Donations</t>
  </si>
  <si>
    <t xml:space="preserve">LIEPKALNIO G. 112 &gt;VILNIUS</t>
  </si>
  <si>
    <t>Stuff</t>
  </si>
  <si>
    <t xml:space="preserve">Blizzard Entertainment\145 rue Yves</t>
  </si>
  <si>
    <t xml:space="preserve">UAB ELEKTRUM LIETUVA</t>
  </si>
  <si>
    <t>Registration/License</t>
  </si>
  <si>
    <t>TRANSPORTATION</t>
  </si>
  <si>
    <t xml:space="preserve">AMZN Mktp DE*E32PT9OO5\5 rue</t>
  </si>
  <si>
    <t xml:space="preserve">Car Payments</t>
  </si>
  <si>
    <t xml:space="preserve">UAB SVIEZIA STOTELE \MINSKO</t>
  </si>
  <si>
    <t xml:space="preserve">Auto Insurance</t>
  </si>
  <si>
    <t>Fuel</t>
  </si>
  <si>
    <t xml:space="preserve">MIGRACIJOS DEP. PRIE L\VYTENIO</t>
  </si>
  <si>
    <t xml:space="preserve">Taxi / Public Trans</t>
  </si>
  <si>
    <t xml:space="preserve">GREET\J. Basanaviciaus st. 41-6\VILNIUS\03109</t>
  </si>
  <si>
    <t>Repairs/Maintenance</t>
  </si>
  <si>
    <t>Groceries</t>
  </si>
  <si>
    <t xml:space="preserve">DAILY LIVING</t>
  </si>
  <si>
    <t xml:space="preserve">STEAMGAMES.COM 4259522\Roedingsmarkt 9\Hamburg\20459 DEUDEU</t>
  </si>
  <si>
    <t xml:space="preserve">Tea / Coffee</t>
  </si>
  <si>
    <t xml:space="preserve">EXPRESS PIZZA \MORAVU G.</t>
  </si>
  <si>
    <t xml:space="preserve">Dining Out</t>
  </si>
  <si>
    <t xml:space="preserve">NORFA - MM \MINSKO</t>
  </si>
  <si>
    <t>Clothing</t>
  </si>
  <si>
    <t xml:space="preserve">CHATGPT SUBSCRIPTION\548 Market StreetPMB</t>
  </si>
  <si>
    <t>Cleaning</t>
  </si>
  <si>
    <t>Salon/Barber</t>
  </si>
  <si>
    <t xml:space="preserve">UAB BARBORA X631 \MAMONICIU</t>
  </si>
  <si>
    <t>Education</t>
  </si>
  <si>
    <t xml:space="preserve">Pet Supplies</t>
  </si>
  <si>
    <t>Friends</t>
  </si>
  <si>
    <t>ENTERTAINMENT</t>
  </si>
  <si>
    <t>Events</t>
  </si>
  <si>
    <t>Sports</t>
  </si>
  <si>
    <t>Hobbies</t>
  </si>
  <si>
    <t xml:space="preserve">Health Insurance</t>
  </si>
  <si>
    <t>HEALTH</t>
  </si>
  <si>
    <t xml:space="preserve">Gym Membership</t>
  </si>
  <si>
    <t xml:space="preserve">Doctors/Dentist Visits</t>
  </si>
  <si>
    <t>Medicine/Prescriptions</t>
  </si>
  <si>
    <t>Veterinarian</t>
  </si>
  <si>
    <t xml:space="preserve">Life Insurance</t>
  </si>
  <si>
    <t xml:space="preserve">Emergency Fund</t>
  </si>
  <si>
    <t>SAVINGS</t>
  </si>
  <si>
    <t xml:space="preserve">Transfer to Savings</t>
  </si>
  <si>
    <t xml:space="preserve">Retirement(401K, IRA)</t>
  </si>
  <si>
    <t>Investments</t>
  </si>
  <si>
    <t xml:space="preserve">Cash savings</t>
  </si>
  <si>
    <t>Fees</t>
  </si>
  <si>
    <t>FEES</t>
  </si>
  <si>
    <t xml:space="preserve">Analysis sheet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</si>
</sst>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top"/>
    </xf>
    <xf fontId="0" fillId="2" borderId="0" numFmtId="0" xfId="0" applyFill="1"/>
    <xf fontId="0" fillId="0" borderId="0" numFmtId="0" xfId="0">
      <protection hidden="0" locked="1"/>
    </xf>
    <xf fontId="0" fillId="3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E57">
  <autoFilter ref="A1:E57"/>
  <sortState ref="A2:D57">
    <sortCondition descending="0" ref="C1:C57"/>
  </sortState>
  <tableColumns count="5">
    <tableColumn id="1" name="DATA"/>
    <tableColumn id="2" name="SUMA"/>
    <tableColumn id="3" name="MOKĖTOJO ARBA GAVĖJO PAVADINIMAS"/>
    <tableColumn id="4" name="MOKĖJIMO PASKIRTIS"/>
    <tableColumn id="5" name="Column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A1:E46">
  <autoFilter ref="A1:E46"/>
  <sortState ref="A2:D46">
    <sortCondition descending="0" ref="C1:C46"/>
  </sortState>
  <tableColumns count="5">
    <tableColumn id="1" name="DATA"/>
    <tableColumn id="2" name="SUMA"/>
    <tableColumn id="3" name="MOKĖTOJO ARBA GAVĖJO PAVADINIMAS"/>
    <tableColumn id="4" name="MOKĖJIMO PASKIRTIS"/>
    <tableColumn id="5" name="Column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3" ref="$A$1:$E$56">
  <autoFilter ref="$A$1:$E$56"/>
  <sortState ref="A2:E56">
    <sortCondition descending="0" ref="C1:C56"/>
  </sortState>
  <tableColumns count="5">
    <tableColumn id="1" name="DATA"/>
    <tableColumn id="2" name="SUMA"/>
    <tableColumn id="3" name="MOKĖTOJO ARBA GAVĖJO PAVADINIMAS"/>
    <tableColumn id="4" name="MOKĖJIMO PASKIRTIS"/>
    <tableColumn id="5" name="Column1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22.84</v>
      </c>
      <c r="C2" t="s">
        <v>5</v>
      </c>
      <c r="D2" t="s">
        <v>6</v>
      </c>
    </row>
    <row r="3">
      <c r="A3" t="s">
        <v>7</v>
      </c>
      <c r="B3">
        <v>26.989999999999998</v>
      </c>
      <c r="C3" t="s">
        <v>8</v>
      </c>
      <c r="D3" t="s">
        <v>9</v>
      </c>
    </row>
    <row r="4">
      <c r="A4" t="s">
        <v>10</v>
      </c>
      <c r="B4">
        <v>1</v>
      </c>
      <c r="C4" t="s">
        <v>11</v>
      </c>
      <c r="D4" t="s">
        <v>12</v>
      </c>
    </row>
    <row r="5">
      <c r="A5" t="s">
        <v>13</v>
      </c>
      <c r="B5">
        <v>16.280000000000001</v>
      </c>
      <c r="C5" t="s">
        <v>14</v>
      </c>
      <c r="D5" t="s">
        <v>15</v>
      </c>
    </row>
    <row r="6">
      <c r="A6" t="s">
        <v>13</v>
      </c>
      <c r="B6">
        <v>36</v>
      </c>
      <c r="C6" t="s">
        <v>16</v>
      </c>
      <c r="D6" t="s">
        <v>17</v>
      </c>
    </row>
    <row r="7">
      <c r="A7" t="s">
        <v>18</v>
      </c>
      <c r="B7">
        <v>0.14999999999999999</v>
      </c>
      <c r="C7" t="s">
        <v>11</v>
      </c>
      <c r="D7" t="s">
        <v>19</v>
      </c>
    </row>
    <row r="8">
      <c r="A8" t="s">
        <v>18</v>
      </c>
      <c r="B8">
        <v>10</v>
      </c>
      <c r="C8" t="s">
        <v>20</v>
      </c>
      <c r="D8" t="s">
        <v>21</v>
      </c>
    </row>
    <row r="9">
      <c r="A9" t="s">
        <v>18</v>
      </c>
      <c r="B9">
        <v>10</v>
      </c>
      <c r="C9" t="s">
        <v>22</v>
      </c>
      <c r="D9" t="s">
        <v>23</v>
      </c>
    </row>
    <row r="10">
      <c r="A10" t="s">
        <v>24</v>
      </c>
      <c r="B10">
        <v>0.45000000000000001</v>
      </c>
      <c r="C10" t="s">
        <v>11</v>
      </c>
      <c r="D10" t="s">
        <v>19</v>
      </c>
    </row>
    <row r="11">
      <c r="A11" t="s">
        <v>24</v>
      </c>
      <c r="B11">
        <v>2.8799999999999999</v>
      </c>
      <c r="C11" t="s">
        <v>25</v>
      </c>
      <c r="D11" t="s">
        <v>26</v>
      </c>
    </row>
    <row r="12">
      <c r="A12" t="s">
        <v>24</v>
      </c>
      <c r="B12">
        <v>3</v>
      </c>
      <c r="C12" t="s">
        <v>27</v>
      </c>
      <c r="D12" t="s">
        <v>28</v>
      </c>
    </row>
    <row r="13">
      <c r="A13" t="s">
        <v>29</v>
      </c>
      <c r="B13">
        <v>0.14999999999999999</v>
      </c>
      <c r="C13" t="s">
        <v>11</v>
      </c>
      <c r="D13" t="s">
        <v>19</v>
      </c>
    </row>
    <row r="14">
      <c r="A14" t="s">
        <v>29</v>
      </c>
      <c r="B14">
        <v>1</v>
      </c>
      <c r="C14" t="s">
        <v>11</v>
      </c>
      <c r="D14" t="s">
        <v>30</v>
      </c>
    </row>
    <row r="15">
      <c r="A15" t="s">
        <v>29</v>
      </c>
      <c r="B15">
        <v>3</v>
      </c>
      <c r="C15" t="s">
        <v>27</v>
      </c>
      <c r="D15" t="s">
        <v>31</v>
      </c>
    </row>
    <row r="16">
      <c r="A16" t="s">
        <v>29</v>
      </c>
      <c r="B16">
        <v>3.6800000000000002</v>
      </c>
      <c r="C16" t="s">
        <v>25</v>
      </c>
      <c r="D16" t="s">
        <v>32</v>
      </c>
    </row>
    <row r="17">
      <c r="A17" t="s">
        <v>29</v>
      </c>
      <c r="B17">
        <v>10</v>
      </c>
      <c r="C17" t="s">
        <v>33</v>
      </c>
      <c r="D17" t="s">
        <v>34</v>
      </c>
    </row>
    <row r="18">
      <c r="A18" t="s">
        <v>35</v>
      </c>
      <c r="B18">
        <v>113</v>
      </c>
      <c r="C18" t="s">
        <v>36</v>
      </c>
      <c r="D18" t="s">
        <v>37</v>
      </c>
    </row>
    <row r="19">
      <c r="A19" t="s">
        <v>38</v>
      </c>
      <c r="B19">
        <v>0.14999999999999999</v>
      </c>
      <c r="C19" t="s">
        <v>11</v>
      </c>
      <c r="D19" t="s">
        <v>19</v>
      </c>
    </row>
    <row r="20">
      <c r="A20" t="s">
        <v>38</v>
      </c>
      <c r="B20">
        <v>2.9900000000000002</v>
      </c>
      <c r="C20" t="s">
        <v>25</v>
      </c>
      <c r="D20" t="s">
        <v>39</v>
      </c>
    </row>
    <row r="21">
      <c r="A21" t="s">
        <v>38</v>
      </c>
      <c r="B21">
        <v>36.859999999999999</v>
      </c>
      <c r="C21" t="s">
        <v>40</v>
      </c>
      <c r="D21" t="s">
        <v>41</v>
      </c>
    </row>
    <row r="22">
      <c r="A22" t="s">
        <v>4</v>
      </c>
      <c r="B22">
        <v>1.29</v>
      </c>
      <c r="C22" t="s">
        <v>25</v>
      </c>
      <c r="D22" t="s">
        <v>42</v>
      </c>
    </row>
    <row r="23">
      <c r="A23" t="s">
        <v>43</v>
      </c>
      <c r="B23">
        <v>3.4900000000000002</v>
      </c>
      <c r="C23" t="s">
        <v>44</v>
      </c>
      <c r="D23" t="s">
        <v>45</v>
      </c>
    </row>
    <row r="24">
      <c r="A24" t="s">
        <v>43</v>
      </c>
      <c r="B24">
        <v>25.969999999999999</v>
      </c>
      <c r="C24" t="s">
        <v>40</v>
      </c>
      <c r="D24" t="s">
        <v>46</v>
      </c>
    </row>
    <row r="25">
      <c r="A25" t="s">
        <v>47</v>
      </c>
      <c r="B25">
        <v>3</v>
      </c>
      <c r="C25" t="s">
        <v>27</v>
      </c>
      <c r="D25" t="s">
        <v>48</v>
      </c>
    </row>
    <row r="26">
      <c r="A26" t="s">
        <v>47</v>
      </c>
      <c r="B26">
        <v>3.0899999999999999</v>
      </c>
      <c r="C26" t="s">
        <v>25</v>
      </c>
      <c r="D26" t="s">
        <v>49</v>
      </c>
    </row>
    <row r="27">
      <c r="A27" t="s">
        <v>50</v>
      </c>
      <c r="B27">
        <v>0.14999999999999999</v>
      </c>
      <c r="C27" t="s">
        <v>11</v>
      </c>
      <c r="D27" t="s">
        <v>19</v>
      </c>
    </row>
    <row r="28">
      <c r="A28" t="s">
        <v>50</v>
      </c>
      <c r="B28">
        <v>2.9900000000000002</v>
      </c>
      <c r="C28" t="s">
        <v>25</v>
      </c>
      <c r="D28" t="s">
        <v>51</v>
      </c>
    </row>
    <row r="29">
      <c r="A29" t="s">
        <v>50</v>
      </c>
      <c r="B29">
        <v>3</v>
      </c>
      <c r="C29" t="s">
        <v>27</v>
      </c>
      <c r="D29" t="s">
        <v>52</v>
      </c>
    </row>
    <row r="30">
      <c r="A30" t="s">
        <v>50</v>
      </c>
      <c r="B30">
        <v>39.729999999999997</v>
      </c>
      <c r="C30" t="s">
        <v>40</v>
      </c>
      <c r="D30" t="s">
        <v>53</v>
      </c>
    </row>
    <row r="31">
      <c r="A31" t="s">
        <v>54</v>
      </c>
      <c r="B31">
        <v>13</v>
      </c>
      <c r="C31" t="s">
        <v>55</v>
      </c>
      <c r="D31" t="s">
        <v>56</v>
      </c>
    </row>
    <row r="32">
      <c r="A32" t="s">
        <v>54</v>
      </c>
      <c r="B32">
        <v>35.130000000000003</v>
      </c>
      <c r="C32" t="s">
        <v>57</v>
      </c>
      <c r="D32" t="s">
        <v>15</v>
      </c>
    </row>
    <row r="33">
      <c r="A33" t="s">
        <v>58</v>
      </c>
      <c r="B33">
        <v>0.14999999999999999</v>
      </c>
      <c r="C33" t="s">
        <v>11</v>
      </c>
      <c r="D33" t="s">
        <v>19</v>
      </c>
    </row>
    <row r="34">
      <c r="A34" t="s">
        <v>59</v>
      </c>
      <c r="B34">
        <v>3.0899999999999999</v>
      </c>
      <c r="C34" t="s">
        <v>25</v>
      </c>
      <c r="D34" t="s">
        <v>60</v>
      </c>
    </row>
    <row r="35">
      <c r="A35" t="s">
        <v>61</v>
      </c>
      <c r="B35">
        <v>0.14999999999999999</v>
      </c>
      <c r="C35" t="s">
        <v>11</v>
      </c>
      <c r="D35" t="s">
        <v>19</v>
      </c>
    </row>
    <row r="36">
      <c r="A36" t="s">
        <v>61</v>
      </c>
      <c r="B36">
        <v>129.38999999999999</v>
      </c>
      <c r="C36" t="s">
        <v>40</v>
      </c>
      <c r="D36" t="s">
        <v>62</v>
      </c>
    </row>
    <row r="37">
      <c r="A37" t="s">
        <v>63</v>
      </c>
      <c r="B37">
        <v>2.9900000000000002</v>
      </c>
      <c r="C37" t="s">
        <v>25</v>
      </c>
      <c r="D37" t="s">
        <v>64</v>
      </c>
    </row>
    <row r="38">
      <c r="A38" t="s">
        <v>63</v>
      </c>
      <c r="B38">
        <v>3</v>
      </c>
      <c r="C38" t="s">
        <v>27</v>
      </c>
      <c r="D38" t="s">
        <v>65</v>
      </c>
    </row>
    <row r="39">
      <c r="A39" t="s">
        <v>66</v>
      </c>
      <c r="B39">
        <v>0.29999999999999999</v>
      </c>
      <c r="C39" t="s">
        <v>11</v>
      </c>
      <c r="D39" t="s">
        <v>19</v>
      </c>
    </row>
    <row r="40">
      <c r="A40" t="s">
        <v>66</v>
      </c>
      <c r="B40">
        <v>3</v>
      </c>
      <c r="C40" t="s">
        <v>27</v>
      </c>
      <c r="D40" t="s">
        <v>67</v>
      </c>
    </row>
    <row r="41">
      <c r="A41" t="s">
        <v>66</v>
      </c>
      <c r="B41">
        <v>3.0899999999999999</v>
      </c>
      <c r="C41" t="s">
        <v>25</v>
      </c>
      <c r="D41" t="s">
        <v>68</v>
      </c>
    </row>
    <row r="42">
      <c r="A42" t="s">
        <v>66</v>
      </c>
      <c r="B42">
        <v>41.969999999999999</v>
      </c>
      <c r="C42" t="s">
        <v>69</v>
      </c>
      <c r="D42" t="s">
        <v>70</v>
      </c>
    </row>
    <row r="43">
      <c r="A43" t="s">
        <v>66</v>
      </c>
      <c r="B43">
        <v>50.899999999999999</v>
      </c>
      <c r="C43" t="s">
        <v>71</v>
      </c>
      <c r="D43" t="s">
        <v>72</v>
      </c>
    </row>
    <row r="44">
      <c r="A44" t="s">
        <v>73</v>
      </c>
      <c r="B44">
        <v>28.66</v>
      </c>
      <c r="C44" t="s">
        <v>40</v>
      </c>
      <c r="D44" t="s">
        <v>74</v>
      </c>
    </row>
    <row r="45">
      <c r="A45" t="s">
        <v>75</v>
      </c>
      <c r="B45">
        <v>2.9900000000000002</v>
      </c>
      <c r="C45" t="s">
        <v>25</v>
      </c>
      <c r="D45" t="s">
        <v>76</v>
      </c>
    </row>
    <row r="46">
      <c r="A46" t="s">
        <v>75</v>
      </c>
      <c r="B46">
        <v>83</v>
      </c>
      <c r="C46" t="s">
        <v>77</v>
      </c>
      <c r="D46" t="s">
        <v>78</v>
      </c>
    </row>
    <row r="47">
      <c r="A47" t="s">
        <v>79</v>
      </c>
      <c r="B47">
        <v>0.14999999999999999</v>
      </c>
      <c r="C47" t="s">
        <v>11</v>
      </c>
      <c r="D47" t="s">
        <v>19</v>
      </c>
    </row>
    <row r="48">
      <c r="A48" t="s">
        <v>79</v>
      </c>
      <c r="B48">
        <v>3.0899999999999999</v>
      </c>
      <c r="C48" t="s">
        <v>25</v>
      </c>
      <c r="D48" t="s">
        <v>80</v>
      </c>
    </row>
    <row r="49">
      <c r="A49" t="s">
        <v>81</v>
      </c>
      <c r="B49">
        <v>3</v>
      </c>
      <c r="C49" t="s">
        <v>27</v>
      </c>
      <c r="D49" t="s">
        <v>82</v>
      </c>
    </row>
    <row r="50">
      <c r="A50" t="s">
        <v>81</v>
      </c>
      <c r="B50">
        <v>3.52</v>
      </c>
      <c r="C50" t="s">
        <v>83</v>
      </c>
      <c r="D50" t="s">
        <v>84</v>
      </c>
    </row>
    <row r="51">
      <c r="A51" t="s">
        <v>10</v>
      </c>
      <c r="B51">
        <v>2.9900000000000002</v>
      </c>
      <c r="C51" t="s">
        <v>25</v>
      </c>
      <c r="D51" t="s">
        <v>85</v>
      </c>
    </row>
    <row r="52">
      <c r="A52" t="s">
        <v>10</v>
      </c>
      <c r="B52">
        <v>3.8900000000000001</v>
      </c>
      <c r="C52" t="s">
        <v>25</v>
      </c>
      <c r="D52" t="s">
        <v>86</v>
      </c>
    </row>
    <row r="53">
      <c r="A53" t="s">
        <v>87</v>
      </c>
      <c r="B53">
        <v>0.14999999999999999</v>
      </c>
      <c r="C53" t="s">
        <v>11</v>
      </c>
      <c r="D53" t="s">
        <v>19</v>
      </c>
    </row>
    <row r="54">
      <c r="A54" t="s">
        <v>87</v>
      </c>
      <c r="B54">
        <v>35</v>
      </c>
      <c r="C54" t="s">
        <v>40</v>
      </c>
      <c r="D54" t="s">
        <v>88</v>
      </c>
    </row>
    <row r="55">
      <c r="A55" t="s">
        <v>89</v>
      </c>
      <c r="B55">
        <v>1.79</v>
      </c>
      <c r="C55" t="s">
        <v>25</v>
      </c>
      <c r="D55" t="s">
        <v>90</v>
      </c>
    </row>
    <row r="56">
      <c r="A56" t="s">
        <v>89</v>
      </c>
      <c r="B56">
        <v>3</v>
      </c>
      <c r="C56" t="s">
        <v>27</v>
      </c>
      <c r="D56" t="s">
        <v>91</v>
      </c>
    </row>
    <row r="57">
      <c r="A57" t="s">
        <v>92</v>
      </c>
      <c r="B57">
        <v>3.0899999999999999</v>
      </c>
      <c r="C57" t="s">
        <v>25</v>
      </c>
      <c r="D57" t="s">
        <v>93</v>
      </c>
    </row>
    <row r="58">
      <c r="A58" t="s">
        <v>92</v>
      </c>
      <c r="B58">
        <v>3.7999999999999998</v>
      </c>
      <c r="C58" t="s">
        <v>94</v>
      </c>
      <c r="D58" t="s">
        <v>95</v>
      </c>
    </row>
    <row r="59">
      <c r="A59">
        <f>SUM(B2:B58)</f>
        <v>847.40999999999985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39.00390625"/>
    <col bestFit="1" min="4" max="4" width="23.95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96</v>
      </c>
    </row>
    <row r="2">
      <c r="A2" t="s">
        <v>97</v>
      </c>
      <c r="B2">
        <v>71.480000000000004</v>
      </c>
      <c r="C2" t="s">
        <v>98</v>
      </c>
      <c r="D2" t="s">
        <v>99</v>
      </c>
      <c r="E2">
        <f t="shared" ref="E2:E3" si="0">SUM(B2)</f>
        <v>71.480000000000004</v>
      </c>
    </row>
    <row r="3">
      <c r="A3" t="s">
        <v>100</v>
      </c>
      <c r="B3">
        <v>12.99</v>
      </c>
      <c r="C3" t="s">
        <v>101</v>
      </c>
      <c r="D3" t="s">
        <v>102</v>
      </c>
      <c r="E3">
        <f t="shared" si="0"/>
        <v>12.99</v>
      </c>
    </row>
    <row r="4">
      <c r="A4" s="2" t="s">
        <v>103</v>
      </c>
      <c r="B4" s="2">
        <v>4.5999999999999996</v>
      </c>
      <c r="C4" s="2" t="s">
        <v>94</v>
      </c>
      <c r="D4" s="2" t="s">
        <v>104</v>
      </c>
      <c r="E4" s="2">
        <f>SUM(B4:B9)</f>
        <v>34.100000000000001</v>
      </c>
    </row>
    <row r="5">
      <c r="A5" s="2" t="s">
        <v>103</v>
      </c>
      <c r="B5" s="2">
        <v>5.9000000000000004</v>
      </c>
      <c r="C5" s="2" t="s">
        <v>94</v>
      </c>
      <c r="D5" s="2" t="s">
        <v>105</v>
      </c>
      <c r="E5" s="2"/>
    </row>
    <row r="6">
      <c r="A6" s="2" t="s">
        <v>106</v>
      </c>
      <c r="B6" s="2">
        <v>7.7000000000000002</v>
      </c>
      <c r="C6" s="2" t="s">
        <v>94</v>
      </c>
      <c r="D6" s="2" t="s">
        <v>107</v>
      </c>
      <c r="E6" s="2"/>
    </row>
    <row r="7">
      <c r="A7" s="2" t="s">
        <v>108</v>
      </c>
      <c r="B7" s="2">
        <v>5.2000000000000002</v>
      </c>
      <c r="C7" s="2" t="s">
        <v>94</v>
      </c>
      <c r="D7" s="2" t="s">
        <v>109</v>
      </c>
      <c r="E7" s="2"/>
    </row>
    <row r="8">
      <c r="A8" s="2" t="s">
        <v>110</v>
      </c>
      <c r="B8" s="2">
        <v>4.5999999999999996</v>
      </c>
      <c r="C8" s="2" t="s">
        <v>94</v>
      </c>
      <c r="D8" s="2" t="s">
        <v>111</v>
      </c>
      <c r="E8" s="2"/>
    </row>
    <row r="9">
      <c r="A9" s="2" t="s">
        <v>112</v>
      </c>
      <c r="B9" s="2">
        <v>6.0999999999999996</v>
      </c>
      <c r="C9" s="2" t="s">
        <v>94</v>
      </c>
      <c r="D9" s="2" t="s">
        <v>113</v>
      </c>
      <c r="E9" s="2"/>
    </row>
    <row r="10">
      <c r="A10" t="s">
        <v>114</v>
      </c>
      <c r="B10">
        <v>3.52</v>
      </c>
      <c r="C10" t="s">
        <v>83</v>
      </c>
      <c r="D10" t="s">
        <v>115</v>
      </c>
      <c r="E10">
        <f t="shared" ref="E10:E11" si="1">SUM(B10)</f>
        <v>3.52</v>
      </c>
    </row>
    <row r="11">
      <c r="A11" t="s">
        <v>106</v>
      </c>
      <c r="B11">
        <v>10.800000000000001</v>
      </c>
      <c r="C11" t="s">
        <v>116</v>
      </c>
      <c r="D11" t="s">
        <v>117</v>
      </c>
      <c r="E11">
        <f t="shared" si="1"/>
        <v>10.800000000000001</v>
      </c>
    </row>
    <row r="12">
      <c r="A12" s="2" t="s">
        <v>106</v>
      </c>
      <c r="B12" s="2">
        <v>24.030000000000001</v>
      </c>
      <c r="C12" s="2" t="s">
        <v>118</v>
      </c>
      <c r="D12" s="2" t="s">
        <v>119</v>
      </c>
      <c r="E12" s="2">
        <f>SUM(B12:B14)</f>
        <v>43.079999999999998</v>
      </c>
    </row>
    <row r="13">
      <c r="A13" s="2" t="s">
        <v>108</v>
      </c>
      <c r="B13" s="2">
        <v>7.2599999999999998</v>
      </c>
      <c r="C13" s="2" t="s">
        <v>118</v>
      </c>
      <c r="D13" s="2" t="s">
        <v>120</v>
      </c>
      <c r="E13" s="2"/>
    </row>
    <row r="14">
      <c r="A14" s="2" t="s">
        <v>110</v>
      </c>
      <c r="B14" s="2">
        <v>11.789999999999999</v>
      </c>
      <c r="C14" s="2" t="s">
        <v>118</v>
      </c>
      <c r="D14" s="2" t="s">
        <v>121</v>
      </c>
      <c r="E14" s="2"/>
    </row>
    <row r="15">
      <c r="A15" t="s">
        <v>100</v>
      </c>
      <c r="B15">
        <v>100</v>
      </c>
      <c r="C15" t="s">
        <v>122</v>
      </c>
      <c r="D15" t="s">
        <v>123</v>
      </c>
      <c r="E15">
        <f t="shared" ref="E15:E20" si="2">SUM(B15)</f>
        <v>100</v>
      </c>
    </row>
    <row r="16">
      <c r="A16" s="2" t="s">
        <v>124</v>
      </c>
      <c r="B16" s="2">
        <v>8.9299999999999997</v>
      </c>
      <c r="C16" s="2" t="s">
        <v>125</v>
      </c>
      <c r="D16" s="2" t="s">
        <v>126</v>
      </c>
      <c r="E16" s="2">
        <f t="shared" si="2"/>
        <v>8.9299999999999997</v>
      </c>
    </row>
    <row r="17">
      <c r="A17" t="s">
        <v>124</v>
      </c>
      <c r="B17">
        <v>250</v>
      </c>
      <c r="C17" t="s">
        <v>127</v>
      </c>
      <c r="D17" t="s">
        <v>128</v>
      </c>
      <c r="E17">
        <f t="shared" si="2"/>
        <v>250</v>
      </c>
    </row>
    <row r="18">
      <c r="A18" t="s">
        <v>108</v>
      </c>
      <c r="B18">
        <v>6</v>
      </c>
      <c r="C18" t="s">
        <v>55</v>
      </c>
      <c r="D18" t="s">
        <v>128</v>
      </c>
      <c r="E18">
        <f t="shared" si="2"/>
        <v>6</v>
      </c>
    </row>
    <row r="19">
      <c r="A19" t="s">
        <v>129</v>
      </c>
      <c r="B19">
        <v>13</v>
      </c>
      <c r="C19" t="s">
        <v>55</v>
      </c>
      <c r="D19" t="s">
        <v>56</v>
      </c>
      <c r="E19">
        <f t="shared" si="2"/>
        <v>13</v>
      </c>
    </row>
    <row r="20">
      <c r="A20" t="s">
        <v>130</v>
      </c>
      <c r="B20">
        <v>3.4900000000000002</v>
      </c>
      <c r="C20" t="s">
        <v>44</v>
      </c>
      <c r="D20" t="s">
        <v>131</v>
      </c>
      <c r="E20">
        <f t="shared" si="2"/>
        <v>3.4900000000000002</v>
      </c>
    </row>
    <row r="21">
      <c r="A21" s="2" t="s">
        <v>132</v>
      </c>
      <c r="B21" s="2">
        <v>1</v>
      </c>
      <c r="C21" s="2" t="s">
        <v>11</v>
      </c>
      <c r="D21" s="2" t="s">
        <v>12</v>
      </c>
      <c r="E21" s="2">
        <f>SUM(B21:B31)</f>
        <v>3.7999999999999989</v>
      </c>
    </row>
    <row r="22">
      <c r="A22" s="2" t="s">
        <v>103</v>
      </c>
      <c r="B22" s="2">
        <v>0.45000000000000001</v>
      </c>
      <c r="C22" s="2" t="s">
        <v>11</v>
      </c>
      <c r="D22" s="2" t="s">
        <v>19</v>
      </c>
      <c r="E22" s="2"/>
    </row>
    <row r="23">
      <c r="A23" s="2" t="s">
        <v>106</v>
      </c>
      <c r="B23" s="2">
        <v>0.14999999999999999</v>
      </c>
      <c r="C23" s="2" t="s">
        <v>11</v>
      </c>
      <c r="D23" s="2" t="s">
        <v>19</v>
      </c>
      <c r="E23" s="2"/>
    </row>
    <row r="24">
      <c r="A24" s="2" t="s">
        <v>106</v>
      </c>
      <c r="B24" s="2">
        <v>1</v>
      </c>
      <c r="C24" s="2" t="s">
        <v>11</v>
      </c>
      <c r="D24" s="2" t="s">
        <v>30</v>
      </c>
      <c r="E24" s="2"/>
    </row>
    <row r="25">
      <c r="A25" s="2" t="s">
        <v>133</v>
      </c>
      <c r="B25" s="2">
        <v>0.14999999999999999</v>
      </c>
      <c r="C25" s="2" t="s">
        <v>11</v>
      </c>
      <c r="D25" s="2" t="s">
        <v>19</v>
      </c>
      <c r="E25" s="2"/>
    </row>
    <row r="26">
      <c r="A26" s="2" t="s">
        <v>108</v>
      </c>
      <c r="B26" s="2">
        <v>0.14999999999999999</v>
      </c>
      <c r="C26" s="2" t="s">
        <v>11</v>
      </c>
      <c r="D26" s="2" t="s">
        <v>19</v>
      </c>
      <c r="E26" s="2"/>
    </row>
    <row r="27">
      <c r="A27" s="2" t="s">
        <v>129</v>
      </c>
      <c r="B27" s="2">
        <v>0.29999999999999999</v>
      </c>
      <c r="C27" s="2" t="s">
        <v>11</v>
      </c>
      <c r="D27" s="2" t="s">
        <v>19</v>
      </c>
      <c r="E27" s="2"/>
    </row>
    <row r="28">
      <c r="A28" s="2" t="s">
        <v>134</v>
      </c>
      <c r="B28" s="2">
        <v>0.14999999999999999</v>
      </c>
      <c r="C28" s="2" t="s">
        <v>11</v>
      </c>
      <c r="D28" s="2" t="s">
        <v>19</v>
      </c>
      <c r="E28" s="2"/>
    </row>
    <row r="29">
      <c r="A29" s="2" t="s">
        <v>135</v>
      </c>
      <c r="B29" s="2">
        <v>0.14999999999999999</v>
      </c>
      <c r="C29" s="2" t="s">
        <v>11</v>
      </c>
      <c r="D29" s="2" t="s">
        <v>19</v>
      </c>
      <c r="E29" s="2"/>
    </row>
    <row r="30">
      <c r="A30" s="2" t="s">
        <v>136</v>
      </c>
      <c r="B30" s="2">
        <v>0.14999999999999999</v>
      </c>
      <c r="C30" s="2" t="s">
        <v>11</v>
      </c>
      <c r="D30" s="2" t="s">
        <v>19</v>
      </c>
      <c r="E30" s="2"/>
    </row>
    <row r="31">
      <c r="A31" s="2" t="s">
        <v>132</v>
      </c>
      <c r="B31" s="2">
        <v>0.14999999999999999</v>
      </c>
      <c r="C31" s="2" t="s">
        <v>11</v>
      </c>
      <c r="D31" s="2" t="s">
        <v>19</v>
      </c>
      <c r="E31" s="2"/>
    </row>
    <row r="32">
      <c r="A32" t="s">
        <v>106</v>
      </c>
      <c r="B32">
        <v>10</v>
      </c>
      <c r="C32" t="s">
        <v>33</v>
      </c>
      <c r="D32" t="s">
        <v>34</v>
      </c>
      <c r="E32">
        <f>SUM(B32)</f>
        <v>10</v>
      </c>
    </row>
    <row r="33">
      <c r="A33" s="2" t="s">
        <v>134</v>
      </c>
      <c r="B33" s="2">
        <v>42.009999999999998</v>
      </c>
      <c r="C33" s="2" t="s">
        <v>137</v>
      </c>
      <c r="D33" s="2" t="s">
        <v>138</v>
      </c>
      <c r="E33" s="2">
        <f>SUM(B33:B38)</f>
        <v>214.5</v>
      </c>
    </row>
    <row r="34">
      <c r="A34" s="2" t="s">
        <v>135</v>
      </c>
      <c r="B34" s="2">
        <v>34.740000000000002</v>
      </c>
      <c r="C34" s="2" t="s">
        <v>137</v>
      </c>
      <c r="D34" s="2" t="s">
        <v>139</v>
      </c>
      <c r="E34" s="2"/>
    </row>
    <row r="35">
      <c r="A35" s="2" t="s">
        <v>136</v>
      </c>
      <c r="B35" s="2">
        <v>38.850000000000001</v>
      </c>
      <c r="C35" s="2" t="s">
        <v>137</v>
      </c>
      <c r="D35" s="2" t="s">
        <v>140</v>
      </c>
      <c r="E35" s="2"/>
    </row>
    <row r="36">
      <c r="A36" s="2" t="s">
        <v>132</v>
      </c>
      <c r="B36" s="2">
        <v>39.119999999999997</v>
      </c>
      <c r="C36" s="2" t="s">
        <v>137</v>
      </c>
      <c r="D36" s="2" t="s">
        <v>141</v>
      </c>
      <c r="E36" s="2"/>
    </row>
    <row r="37">
      <c r="A37" s="2" t="s">
        <v>142</v>
      </c>
      <c r="B37" s="2">
        <v>28.25</v>
      </c>
      <c r="C37" s="2" t="s">
        <v>40</v>
      </c>
      <c r="D37" s="2" t="s">
        <v>143</v>
      </c>
      <c r="E37" s="2"/>
    </row>
    <row r="38">
      <c r="A38" s="2" t="s">
        <v>133</v>
      </c>
      <c r="B38" s="2">
        <v>31.530000000000001</v>
      </c>
      <c r="C38" s="2" t="s">
        <v>40</v>
      </c>
      <c r="D38" s="2" t="s">
        <v>144</v>
      </c>
      <c r="E38" s="2"/>
    </row>
    <row r="39">
      <c r="A39" t="s">
        <v>124</v>
      </c>
      <c r="B39">
        <v>99.269999999999996</v>
      </c>
      <c r="C39" t="s">
        <v>77</v>
      </c>
      <c r="D39" t="s">
        <v>78</v>
      </c>
      <c r="E39">
        <f>SUM(B39)</f>
        <v>99.269999999999996</v>
      </c>
    </row>
    <row r="40">
      <c r="A40" s="2" t="s">
        <v>97</v>
      </c>
      <c r="B40" s="2">
        <v>3</v>
      </c>
      <c r="C40" s="2" t="s">
        <v>27</v>
      </c>
      <c r="D40" s="2" t="s">
        <v>145</v>
      </c>
      <c r="E40" s="2">
        <f>SUM(B40:B45)</f>
        <v>18.899999999999999</v>
      </c>
    </row>
    <row r="41">
      <c r="A41" s="2" t="s">
        <v>133</v>
      </c>
      <c r="B41" s="2">
        <v>3</v>
      </c>
      <c r="C41" s="2" t="s">
        <v>27</v>
      </c>
      <c r="D41" s="2" t="s">
        <v>146</v>
      </c>
      <c r="E41" s="2"/>
    </row>
    <row r="42">
      <c r="A42" s="2" t="s">
        <v>147</v>
      </c>
      <c r="B42" s="2">
        <v>3</v>
      </c>
      <c r="C42" s="2" t="s">
        <v>27</v>
      </c>
      <c r="D42" s="2" t="s">
        <v>148</v>
      </c>
      <c r="E42" s="2"/>
    </row>
    <row r="43">
      <c r="A43" s="2" t="s">
        <v>149</v>
      </c>
      <c r="B43" s="2">
        <v>3.8999999999999999</v>
      </c>
      <c r="C43" s="2" t="s">
        <v>27</v>
      </c>
      <c r="D43" s="2" t="s">
        <v>150</v>
      </c>
      <c r="E43" s="2"/>
    </row>
    <row r="44">
      <c r="A44" s="2" t="s">
        <v>151</v>
      </c>
      <c r="B44" s="2">
        <v>3</v>
      </c>
      <c r="C44" s="2" t="s">
        <v>27</v>
      </c>
      <c r="D44" s="2" t="s">
        <v>152</v>
      </c>
      <c r="E44" s="2"/>
    </row>
    <row r="45">
      <c r="A45" s="2" t="s">
        <v>153</v>
      </c>
      <c r="B45" s="2">
        <v>3</v>
      </c>
      <c r="C45" s="2" t="s">
        <v>27</v>
      </c>
      <c r="D45" s="2" t="s">
        <v>154</v>
      </c>
      <c r="E45" s="2"/>
    </row>
    <row r="46">
      <c r="A46" s="2" t="s">
        <v>142</v>
      </c>
      <c r="B46" s="2">
        <v>2.9900000000000002</v>
      </c>
      <c r="C46" s="2" t="s">
        <v>25</v>
      </c>
      <c r="D46" s="2" t="s">
        <v>155</v>
      </c>
      <c r="E46" s="2">
        <f>SUM(B46:B55)</f>
        <v>26.799999999999997</v>
      </c>
    </row>
    <row r="47">
      <c r="A47" s="2" t="s">
        <v>97</v>
      </c>
      <c r="B47" s="2">
        <v>1.79</v>
      </c>
      <c r="C47" s="2" t="s">
        <v>25</v>
      </c>
      <c r="D47" s="2" t="s">
        <v>156</v>
      </c>
      <c r="E47" s="2"/>
    </row>
    <row r="48">
      <c r="A48" s="2" t="s">
        <v>133</v>
      </c>
      <c r="B48" s="2">
        <v>1.79</v>
      </c>
      <c r="C48" s="2" t="s">
        <v>25</v>
      </c>
      <c r="D48" s="2" t="s">
        <v>157</v>
      </c>
      <c r="E48" s="2"/>
    </row>
    <row r="49">
      <c r="A49" s="2" t="s">
        <v>130</v>
      </c>
      <c r="B49" s="2">
        <v>3.0899999999999999</v>
      </c>
      <c r="C49" s="2" t="s">
        <v>25</v>
      </c>
      <c r="D49" s="2" t="s">
        <v>158</v>
      </c>
      <c r="E49" s="2"/>
    </row>
    <row r="50">
      <c r="A50" s="2" t="s">
        <v>159</v>
      </c>
      <c r="B50" s="2">
        <v>3.1899999999999999</v>
      </c>
      <c r="C50" s="2" t="s">
        <v>25</v>
      </c>
      <c r="D50" s="2" t="s">
        <v>160</v>
      </c>
      <c r="E50" s="2"/>
    </row>
    <row r="51">
      <c r="A51" s="2" t="s">
        <v>147</v>
      </c>
      <c r="B51" s="2">
        <v>2.9900000000000002</v>
      </c>
      <c r="C51" s="2" t="s">
        <v>25</v>
      </c>
      <c r="D51" s="2" t="s">
        <v>161</v>
      </c>
      <c r="E51" s="2"/>
    </row>
    <row r="52">
      <c r="A52" s="2" t="s">
        <v>149</v>
      </c>
      <c r="B52" s="2">
        <v>3.0899999999999999</v>
      </c>
      <c r="C52" s="2" t="s">
        <v>25</v>
      </c>
      <c r="D52" s="2" t="s">
        <v>162</v>
      </c>
      <c r="E52" s="2"/>
    </row>
    <row r="53">
      <c r="A53" s="2" t="s">
        <v>151</v>
      </c>
      <c r="B53" s="2">
        <v>1.79</v>
      </c>
      <c r="C53" s="2" t="s">
        <v>25</v>
      </c>
      <c r="D53" s="2" t="s">
        <v>163</v>
      </c>
      <c r="E53" s="2"/>
    </row>
    <row r="54">
      <c r="A54" s="2" t="s">
        <v>153</v>
      </c>
      <c r="B54" s="2">
        <v>3.0899999999999999</v>
      </c>
      <c r="C54" s="2" t="s">
        <v>25</v>
      </c>
      <c r="D54" s="2" t="s">
        <v>164</v>
      </c>
      <c r="E54" s="2"/>
    </row>
    <row r="55">
      <c r="A55" s="2" t="s">
        <v>114</v>
      </c>
      <c r="B55" s="2">
        <v>2.9900000000000002</v>
      </c>
      <c r="C55" s="2" t="s">
        <v>25</v>
      </c>
      <c r="D55" s="2" t="s">
        <v>165</v>
      </c>
      <c r="E55" s="2"/>
    </row>
    <row r="56">
      <c r="A56" t="s">
        <v>166</v>
      </c>
      <c r="B56">
        <v>10</v>
      </c>
      <c r="C56" t="s">
        <v>20</v>
      </c>
      <c r="D56" t="s">
        <v>21</v>
      </c>
      <c r="E56">
        <f>SUM(B56)</f>
        <v>10</v>
      </c>
    </row>
    <row r="57">
      <c r="A57">
        <f>SUM(B2:B56)</f>
        <v>940.65999999999985</v>
      </c>
      <c r="E57">
        <f>SUM(E2:E56)</f>
        <v>940.65999999999985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2" max="2" width="8.5234375"/>
    <col bestFit="1" min="3" max="3" width="39.00390625"/>
    <col bestFit="1" min="4" max="4" width="23.95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96</v>
      </c>
    </row>
    <row r="2">
      <c r="A2" t="s">
        <v>167</v>
      </c>
      <c r="B2">
        <v>12.99</v>
      </c>
      <c r="C2" t="s">
        <v>101</v>
      </c>
      <c r="D2" t="s">
        <v>168</v>
      </c>
      <c r="E2">
        <f>SUM(B2)</f>
        <v>12.99</v>
      </c>
    </row>
    <row r="3">
      <c r="A3" t="s">
        <v>169</v>
      </c>
      <c r="B3">
        <v>3.52</v>
      </c>
      <c r="C3" t="s">
        <v>83</v>
      </c>
      <c r="D3" t="s">
        <v>170</v>
      </c>
      <c r="E3" s="3">
        <v>3.52</v>
      </c>
    </row>
    <row r="4">
      <c r="A4" s="2" t="s">
        <v>171</v>
      </c>
      <c r="B4" s="2">
        <v>49.149999999999999</v>
      </c>
      <c r="C4" s="2" t="s">
        <v>172</v>
      </c>
      <c r="D4" s="2" t="s">
        <v>173</v>
      </c>
      <c r="E4" s="2">
        <f>SUM(B4:B5)</f>
        <v>66.409999999999997</v>
      </c>
    </row>
    <row r="5">
      <c r="A5" s="2" t="s">
        <v>174</v>
      </c>
      <c r="B5" s="2">
        <v>17.260000000000002</v>
      </c>
      <c r="C5" s="2" t="s">
        <v>172</v>
      </c>
      <c r="D5" s="2" t="s">
        <v>175</v>
      </c>
      <c r="E5" s="2"/>
    </row>
    <row r="6">
      <c r="A6" s="4" t="s">
        <v>176</v>
      </c>
      <c r="B6" s="4">
        <v>10</v>
      </c>
      <c r="C6" s="4" t="s">
        <v>122</v>
      </c>
      <c r="D6" s="4" t="s">
        <v>123</v>
      </c>
      <c r="E6" s="4">
        <f>SUM(B6:B8)</f>
        <v>260</v>
      </c>
    </row>
    <row r="7">
      <c r="A7" s="4" t="s">
        <v>176</v>
      </c>
      <c r="B7" s="4">
        <v>50</v>
      </c>
      <c r="C7" s="4" t="s">
        <v>122</v>
      </c>
      <c r="D7" s="4" t="s">
        <v>123</v>
      </c>
      <c r="E7" s="4"/>
    </row>
    <row r="8">
      <c r="A8" s="4" t="s">
        <v>176</v>
      </c>
      <c r="B8" s="4">
        <v>200</v>
      </c>
      <c r="C8" s="4" t="s">
        <v>122</v>
      </c>
      <c r="D8" s="4" t="s">
        <v>123</v>
      </c>
      <c r="E8" s="4"/>
    </row>
    <row r="9">
      <c r="A9" t="s">
        <v>177</v>
      </c>
      <c r="B9">
        <v>10</v>
      </c>
      <c r="C9" t="s">
        <v>178</v>
      </c>
      <c r="D9" t="s">
        <v>179</v>
      </c>
      <c r="E9" s="3">
        <v>10</v>
      </c>
    </row>
    <row r="10">
      <c r="A10" t="s">
        <v>180</v>
      </c>
      <c r="B10">
        <v>45.380000000000003</v>
      </c>
      <c r="C10" t="s">
        <v>125</v>
      </c>
      <c r="D10" t="s">
        <v>181</v>
      </c>
      <c r="E10">
        <v>45.380000000000003</v>
      </c>
    </row>
    <row r="11">
      <c r="A11" t="s">
        <v>176</v>
      </c>
      <c r="B11">
        <v>13</v>
      </c>
      <c r="C11" t="s">
        <v>55</v>
      </c>
      <c r="D11" t="s">
        <v>56</v>
      </c>
      <c r="E11" s="3">
        <v>13</v>
      </c>
    </row>
    <row r="12">
      <c r="A12" t="s">
        <v>182</v>
      </c>
      <c r="B12">
        <v>3.4900000000000002</v>
      </c>
      <c r="C12" t="s">
        <v>44</v>
      </c>
      <c r="D12" t="s">
        <v>183</v>
      </c>
      <c r="E12" s="3">
        <v>3.4900000000000002</v>
      </c>
    </row>
    <row r="13">
      <c r="A13" s="2" t="s">
        <v>171</v>
      </c>
      <c r="B13" s="2">
        <v>1</v>
      </c>
      <c r="C13" s="2" t="s">
        <v>11</v>
      </c>
      <c r="D13" s="2" t="s">
        <v>12</v>
      </c>
      <c r="E13" s="2">
        <f>SUM(B13:B21)</f>
        <v>3.6499999999999995</v>
      </c>
    </row>
    <row r="14">
      <c r="A14" s="2" t="s">
        <v>184</v>
      </c>
      <c r="B14" s="2">
        <v>0.45000000000000001</v>
      </c>
      <c r="C14" s="2" t="s">
        <v>11</v>
      </c>
      <c r="D14" s="2" t="s">
        <v>19</v>
      </c>
      <c r="E14" s="2"/>
    </row>
    <row r="15">
      <c r="A15" s="2" t="s">
        <v>185</v>
      </c>
      <c r="B15" s="2">
        <v>1</v>
      </c>
      <c r="C15" s="2" t="s">
        <v>11</v>
      </c>
      <c r="D15" s="2" t="s">
        <v>30</v>
      </c>
      <c r="E15" s="2"/>
    </row>
    <row r="16">
      <c r="A16" s="2" t="s">
        <v>186</v>
      </c>
      <c r="B16" s="2">
        <v>0.14999999999999999</v>
      </c>
      <c r="C16" s="2" t="s">
        <v>11</v>
      </c>
      <c r="D16" s="2" t="s">
        <v>19</v>
      </c>
      <c r="E16" s="2"/>
    </row>
    <row r="17">
      <c r="A17" s="2" t="s">
        <v>176</v>
      </c>
      <c r="B17" s="2">
        <v>0.14999999999999999</v>
      </c>
      <c r="C17" s="2" t="s">
        <v>11</v>
      </c>
      <c r="D17" s="2" t="s">
        <v>19</v>
      </c>
      <c r="E17" s="2"/>
    </row>
    <row r="18">
      <c r="A18" s="2" t="s">
        <v>187</v>
      </c>
      <c r="B18" s="2">
        <v>0.29999999999999999</v>
      </c>
      <c r="C18" s="2" t="s">
        <v>11</v>
      </c>
      <c r="D18" s="2" t="s">
        <v>19</v>
      </c>
      <c r="E18" s="2"/>
    </row>
    <row r="19">
      <c r="A19" s="2" t="s">
        <v>188</v>
      </c>
      <c r="B19" s="2">
        <v>0.14999999999999999</v>
      </c>
      <c r="C19" s="2" t="s">
        <v>11</v>
      </c>
      <c r="D19" s="2" t="s">
        <v>19</v>
      </c>
      <c r="E19" s="2"/>
    </row>
    <row r="20">
      <c r="A20" s="2" t="s">
        <v>171</v>
      </c>
      <c r="B20" s="2">
        <v>0.29999999999999999</v>
      </c>
      <c r="C20" s="2" t="s">
        <v>11</v>
      </c>
      <c r="D20" s="2" t="s">
        <v>19</v>
      </c>
      <c r="E20" s="2"/>
    </row>
    <row r="21">
      <c r="A21" s="2" t="s">
        <v>180</v>
      </c>
      <c r="B21" s="2">
        <v>0.14999999999999999</v>
      </c>
      <c r="C21" s="2" t="s">
        <v>11</v>
      </c>
      <c r="D21" s="2" t="s">
        <v>19</v>
      </c>
      <c r="E21" s="2"/>
    </row>
    <row r="22">
      <c r="A22" t="s">
        <v>185</v>
      </c>
      <c r="B22">
        <v>10</v>
      </c>
      <c r="C22" t="s">
        <v>33</v>
      </c>
      <c r="D22" t="s">
        <v>34</v>
      </c>
      <c r="E22" s="3">
        <v>10</v>
      </c>
    </row>
    <row r="23">
      <c r="A23" s="2" t="s">
        <v>186</v>
      </c>
      <c r="B23" s="2">
        <v>40.32</v>
      </c>
      <c r="C23" s="2" t="s">
        <v>137</v>
      </c>
      <c r="D23" s="2" t="s">
        <v>189</v>
      </c>
      <c r="E23" s="2">
        <f>SUM(B23:B26)</f>
        <v>149</v>
      </c>
    </row>
    <row r="24">
      <c r="A24" s="2" t="s">
        <v>176</v>
      </c>
      <c r="B24" s="2">
        <v>33.43</v>
      </c>
      <c r="C24" s="2" t="s">
        <v>137</v>
      </c>
      <c r="D24" s="2" t="s">
        <v>190</v>
      </c>
      <c r="E24" s="2"/>
    </row>
    <row r="25">
      <c r="A25" s="2" t="s">
        <v>188</v>
      </c>
      <c r="B25" s="2">
        <v>36.609999999999999</v>
      </c>
      <c r="C25" s="2" t="s">
        <v>137</v>
      </c>
      <c r="D25" s="2" t="s">
        <v>191</v>
      </c>
      <c r="E25" s="2"/>
    </row>
    <row r="26">
      <c r="A26" s="2" t="s">
        <v>171</v>
      </c>
      <c r="B26" s="2">
        <v>38.640000000000001</v>
      </c>
      <c r="C26" s="2" t="s">
        <v>137</v>
      </c>
      <c r="D26" s="2" t="s">
        <v>192</v>
      </c>
      <c r="E26" s="2"/>
    </row>
    <row r="27">
      <c r="A27" t="s">
        <v>193</v>
      </c>
      <c r="B27">
        <v>2.7000000000000002</v>
      </c>
      <c r="C27" t="s">
        <v>27</v>
      </c>
      <c r="D27" t="s">
        <v>194</v>
      </c>
      <c r="E27">
        <f>SUM(B27:B31)</f>
        <v>13.300000000000001</v>
      </c>
    </row>
    <row r="28">
      <c r="A28" t="s">
        <v>184</v>
      </c>
      <c r="B28">
        <v>2.2999999999999998</v>
      </c>
      <c r="C28" t="s">
        <v>27</v>
      </c>
      <c r="D28" t="s">
        <v>195</v>
      </c>
    </row>
    <row r="29">
      <c r="A29" t="s">
        <v>182</v>
      </c>
      <c r="B29">
        <v>3</v>
      </c>
      <c r="C29" t="s">
        <v>27</v>
      </c>
      <c r="D29" t="s">
        <v>196</v>
      </c>
    </row>
    <row r="30">
      <c r="A30" t="s">
        <v>197</v>
      </c>
      <c r="B30">
        <v>3</v>
      </c>
      <c r="C30" t="s">
        <v>27</v>
      </c>
      <c r="D30" t="s">
        <v>198</v>
      </c>
    </row>
    <row r="31">
      <c r="A31" t="s">
        <v>199</v>
      </c>
      <c r="B31">
        <v>2.2999999999999998</v>
      </c>
      <c r="C31" t="s">
        <v>27</v>
      </c>
      <c r="D31" t="s">
        <v>200</v>
      </c>
    </row>
    <row r="32">
      <c r="A32" s="2" t="s">
        <v>193</v>
      </c>
      <c r="B32" s="2">
        <v>3.1899999999999999</v>
      </c>
      <c r="C32" s="2" t="s">
        <v>25</v>
      </c>
      <c r="D32" s="2" t="s">
        <v>201</v>
      </c>
      <c r="E32" s="2">
        <f>SUM(B32:B45)</f>
        <v>40.560000000000002</v>
      </c>
    </row>
    <row r="33">
      <c r="A33" s="2" t="s">
        <v>184</v>
      </c>
      <c r="B33" s="2">
        <v>3.0899999999999999</v>
      </c>
      <c r="C33" s="2" t="s">
        <v>25</v>
      </c>
      <c r="D33" s="2" t="s">
        <v>202</v>
      </c>
      <c r="E33" s="2"/>
    </row>
    <row r="34">
      <c r="A34" s="2" t="s">
        <v>203</v>
      </c>
      <c r="B34" s="2">
        <v>2.9900000000000002</v>
      </c>
      <c r="C34" s="2" t="s">
        <v>25</v>
      </c>
      <c r="D34" s="2" t="s">
        <v>204</v>
      </c>
      <c r="E34" s="2"/>
    </row>
    <row r="35">
      <c r="A35" s="2" t="s">
        <v>205</v>
      </c>
      <c r="B35" s="2">
        <v>2.9900000000000002</v>
      </c>
      <c r="C35" s="2" t="s">
        <v>25</v>
      </c>
      <c r="D35" s="2" t="s">
        <v>206</v>
      </c>
      <c r="E35" s="2"/>
    </row>
    <row r="36">
      <c r="A36" s="2" t="s">
        <v>182</v>
      </c>
      <c r="B36" s="2">
        <v>3.1899999999999999</v>
      </c>
      <c r="C36" s="2" t="s">
        <v>25</v>
      </c>
      <c r="D36" s="2" t="s">
        <v>207</v>
      </c>
      <c r="E36" s="2"/>
    </row>
    <row r="37">
      <c r="A37" s="2" t="s">
        <v>208</v>
      </c>
      <c r="B37" s="2">
        <v>3.1899999999999999</v>
      </c>
      <c r="C37" s="2" t="s">
        <v>25</v>
      </c>
      <c r="D37" s="2" t="s">
        <v>209</v>
      </c>
      <c r="E37" s="2"/>
    </row>
    <row r="38">
      <c r="A38" s="2" t="s">
        <v>176</v>
      </c>
      <c r="B38" s="2">
        <v>2.9900000000000002</v>
      </c>
      <c r="C38" s="2" t="s">
        <v>25</v>
      </c>
      <c r="D38" s="2" t="s">
        <v>210</v>
      </c>
      <c r="E38" s="2"/>
    </row>
    <row r="39">
      <c r="A39" s="2" t="s">
        <v>187</v>
      </c>
      <c r="B39" s="2">
        <v>1.0900000000000001</v>
      </c>
      <c r="C39" s="2" t="s">
        <v>25</v>
      </c>
      <c r="D39" s="2" t="s">
        <v>211</v>
      </c>
      <c r="E39" s="2"/>
    </row>
    <row r="40">
      <c r="A40" s="2" t="s">
        <v>212</v>
      </c>
      <c r="B40" s="2">
        <v>3.1899999999999999</v>
      </c>
      <c r="C40" s="2" t="s">
        <v>25</v>
      </c>
      <c r="D40" s="2" t="s">
        <v>213</v>
      </c>
      <c r="E40" s="2"/>
    </row>
    <row r="41">
      <c r="A41" s="2" t="s">
        <v>199</v>
      </c>
      <c r="B41" s="2">
        <v>2.9900000000000002</v>
      </c>
      <c r="C41" s="2" t="s">
        <v>25</v>
      </c>
      <c r="D41" s="2" t="s">
        <v>214</v>
      </c>
      <c r="E41" s="2"/>
    </row>
    <row r="42">
      <c r="A42" s="2" t="s">
        <v>188</v>
      </c>
      <c r="B42" s="2">
        <v>2.9900000000000002</v>
      </c>
      <c r="C42" s="2" t="s">
        <v>25</v>
      </c>
      <c r="D42" s="2" t="s">
        <v>215</v>
      </c>
      <c r="E42" s="2"/>
    </row>
    <row r="43">
      <c r="A43" s="2" t="s">
        <v>216</v>
      </c>
      <c r="B43" s="2">
        <v>2.29</v>
      </c>
      <c r="C43" s="2" t="s">
        <v>25</v>
      </c>
      <c r="D43" s="2" t="s">
        <v>217</v>
      </c>
      <c r="E43" s="2"/>
    </row>
    <row r="44">
      <c r="A44" s="2" t="s">
        <v>216</v>
      </c>
      <c r="B44" s="2">
        <v>3.1899999999999999</v>
      </c>
      <c r="C44" s="2" t="s">
        <v>25</v>
      </c>
      <c r="D44" s="2" t="s">
        <v>218</v>
      </c>
      <c r="E44" s="2"/>
    </row>
    <row r="45">
      <c r="A45" s="2" t="s">
        <v>219</v>
      </c>
      <c r="B45" s="2">
        <v>3.1899999999999999</v>
      </c>
      <c r="C45" s="2" t="s">
        <v>25</v>
      </c>
      <c r="D45" s="2" t="s">
        <v>220</v>
      </c>
      <c r="E45" s="2"/>
    </row>
    <row r="46">
      <c r="A46" t="s">
        <v>185</v>
      </c>
      <c r="B46">
        <v>10</v>
      </c>
      <c r="C46" t="s">
        <v>20</v>
      </c>
      <c r="D46" t="s">
        <v>21</v>
      </c>
      <c r="E46" s="3">
        <v>10</v>
      </c>
    </row>
    <row r="47">
      <c r="A47">
        <f>SUM(B2:B46)</f>
        <v>641.3000000000003</v>
      </c>
      <c r="E47">
        <f>SUM(E2:E46)</f>
        <v>641.29999999999995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3" max="3" width="39.00390625"/>
    <col bestFit="1" min="4" max="4" width="23.953125"/>
    <col bestFit="1" min="5" max="5" width="11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96</v>
      </c>
    </row>
    <row r="2">
      <c r="A2" t="s">
        <v>221</v>
      </c>
      <c r="B2">
        <v>7.5</v>
      </c>
      <c r="C2" t="s">
        <v>222</v>
      </c>
      <c r="D2" t="s">
        <v>223</v>
      </c>
      <c r="E2" s="3">
        <v>7.5</v>
      </c>
    </row>
    <row r="3">
      <c r="A3" t="s">
        <v>224</v>
      </c>
      <c r="B3">
        <v>64</v>
      </c>
      <c r="C3" t="s">
        <v>36</v>
      </c>
      <c r="D3" t="s">
        <v>225</v>
      </c>
      <c r="E3" s="3">
        <v>64</v>
      </c>
    </row>
    <row r="4">
      <c r="A4" t="s">
        <v>221</v>
      </c>
      <c r="B4">
        <v>5.4000000000000004</v>
      </c>
      <c r="C4" t="s">
        <v>94</v>
      </c>
      <c r="D4" t="s">
        <v>226</v>
      </c>
      <c r="E4" s="3">
        <v>5.4000000000000004</v>
      </c>
    </row>
    <row r="5">
      <c r="A5" s="2" t="s">
        <v>227</v>
      </c>
      <c r="B5" s="2">
        <v>28.989999999999998</v>
      </c>
      <c r="C5" s="2" t="s">
        <v>228</v>
      </c>
      <c r="D5" s="2" t="s">
        <v>229</v>
      </c>
      <c r="E5" s="2">
        <f>SUM(B5+B8)</f>
        <v>44.579999999999998</v>
      </c>
    </row>
    <row r="6">
      <c r="A6" t="s">
        <v>230</v>
      </c>
      <c r="B6">
        <v>3.52</v>
      </c>
      <c r="C6" t="s">
        <v>83</v>
      </c>
      <c r="D6" t="s">
        <v>231</v>
      </c>
      <c r="E6" s="3">
        <v>3.52</v>
      </c>
    </row>
    <row r="7">
      <c r="A7" t="s">
        <v>221</v>
      </c>
      <c r="B7">
        <v>12.970000000000001</v>
      </c>
      <c r="C7" t="s">
        <v>118</v>
      </c>
      <c r="D7" t="s">
        <v>232</v>
      </c>
      <c r="E7" s="3">
        <v>12.970000000000001</v>
      </c>
    </row>
    <row r="8">
      <c r="A8" s="2" t="s">
        <v>233</v>
      </c>
      <c r="B8" s="2">
        <v>15.59</v>
      </c>
      <c r="C8" s="2" t="s">
        <v>14</v>
      </c>
      <c r="D8" s="2" t="s">
        <v>15</v>
      </c>
      <c r="E8" s="2"/>
    </row>
    <row r="9">
      <c r="A9" t="s">
        <v>234</v>
      </c>
      <c r="B9">
        <v>13</v>
      </c>
      <c r="C9" t="s">
        <v>55</v>
      </c>
      <c r="D9" t="s">
        <v>56</v>
      </c>
      <c r="E9" s="3">
        <v>13</v>
      </c>
    </row>
    <row r="10">
      <c r="A10" t="s">
        <v>235</v>
      </c>
      <c r="B10">
        <v>3.4900000000000002</v>
      </c>
      <c r="C10" t="s">
        <v>44</v>
      </c>
      <c r="D10" t="s">
        <v>236</v>
      </c>
      <c r="E10" s="3">
        <v>3.4900000000000002</v>
      </c>
    </row>
    <row r="11">
      <c r="A11" t="s">
        <v>230</v>
      </c>
      <c r="B11">
        <v>10</v>
      </c>
      <c r="C11" t="s">
        <v>237</v>
      </c>
      <c r="D11" t="s">
        <v>238</v>
      </c>
      <c r="E11" s="3">
        <v>10</v>
      </c>
    </row>
    <row r="12">
      <c r="A12" s="2" t="s">
        <v>239</v>
      </c>
      <c r="B12" s="2">
        <v>0.14999999999999999</v>
      </c>
      <c r="C12" s="2" t="s">
        <v>11</v>
      </c>
      <c r="D12" s="2" t="s">
        <v>19</v>
      </c>
      <c r="E12" s="2">
        <f>SUM(B12:B22)</f>
        <v>2.7999999999999994</v>
      </c>
    </row>
    <row r="13">
      <c r="A13" s="2" t="s">
        <v>240</v>
      </c>
      <c r="B13" s="2">
        <v>0.45000000000000001</v>
      </c>
      <c r="C13" s="2" t="s">
        <v>11</v>
      </c>
      <c r="D13" s="2" t="s">
        <v>19</v>
      </c>
      <c r="E13" s="2"/>
    </row>
    <row r="14">
      <c r="A14" s="2" t="s">
        <v>233</v>
      </c>
      <c r="B14" s="2">
        <v>1</v>
      </c>
      <c r="C14" s="2" t="s">
        <v>11</v>
      </c>
      <c r="D14" s="2" t="s">
        <v>30</v>
      </c>
      <c r="E14" s="2"/>
    </row>
    <row r="15">
      <c r="A15" s="2" t="s">
        <v>241</v>
      </c>
      <c r="B15" s="2">
        <v>0.14999999999999999</v>
      </c>
      <c r="C15" s="2" t="s">
        <v>11</v>
      </c>
      <c r="D15" s="2" t="s">
        <v>19</v>
      </c>
      <c r="E15" s="2"/>
    </row>
    <row r="16">
      <c r="A16" s="2" t="s">
        <v>235</v>
      </c>
      <c r="B16" s="2">
        <v>0.14999999999999999</v>
      </c>
      <c r="C16" s="2" t="s">
        <v>11</v>
      </c>
      <c r="D16" s="2" t="s">
        <v>19</v>
      </c>
      <c r="E16" s="2"/>
    </row>
    <row r="17">
      <c r="A17" s="2" t="s">
        <v>224</v>
      </c>
      <c r="B17" s="2">
        <v>0.14999999999999999</v>
      </c>
      <c r="C17" s="2" t="s">
        <v>11</v>
      </c>
      <c r="D17" s="2" t="s">
        <v>19</v>
      </c>
      <c r="E17" s="2"/>
    </row>
    <row r="18">
      <c r="A18" s="2" t="s">
        <v>242</v>
      </c>
      <c r="B18" s="2">
        <v>0.14999999999999999</v>
      </c>
      <c r="C18" s="2" t="s">
        <v>11</v>
      </c>
      <c r="D18" s="2" t="s">
        <v>19</v>
      </c>
      <c r="E18" s="2"/>
    </row>
    <row r="19">
      <c r="A19" s="2" t="s">
        <v>243</v>
      </c>
      <c r="B19" s="2">
        <v>0.14999999999999999</v>
      </c>
      <c r="C19" s="2" t="s">
        <v>11</v>
      </c>
      <c r="D19" s="2" t="s">
        <v>19</v>
      </c>
      <c r="E19" s="2"/>
    </row>
    <row r="20">
      <c r="A20" s="2" t="s">
        <v>244</v>
      </c>
      <c r="B20" s="2">
        <v>0.14999999999999999</v>
      </c>
      <c r="C20" s="2" t="s">
        <v>11</v>
      </c>
      <c r="D20" s="2" t="s">
        <v>19</v>
      </c>
      <c r="E20" s="2"/>
    </row>
    <row r="21">
      <c r="A21" s="2" t="s">
        <v>245</v>
      </c>
      <c r="B21" s="2">
        <v>0.14999999999999999</v>
      </c>
      <c r="C21" s="2" t="s">
        <v>11</v>
      </c>
      <c r="D21" s="2" t="s">
        <v>19</v>
      </c>
      <c r="E21" s="2"/>
    </row>
    <row r="22">
      <c r="A22" s="2" t="s">
        <v>246</v>
      </c>
      <c r="B22" s="2">
        <v>0.14999999999999999</v>
      </c>
      <c r="C22" s="2" t="s">
        <v>11</v>
      </c>
      <c r="D22" s="2" t="s">
        <v>19</v>
      </c>
      <c r="E22" s="2"/>
    </row>
    <row r="23">
      <c r="A23" t="s">
        <v>247</v>
      </c>
      <c r="B23">
        <v>8.9900000000000002</v>
      </c>
      <c r="C23" t="s">
        <v>248</v>
      </c>
      <c r="D23" t="s">
        <v>249</v>
      </c>
      <c r="E23" s="3">
        <v>8.9900000000000002</v>
      </c>
    </row>
    <row r="24">
      <c r="A24" t="s">
        <v>233</v>
      </c>
      <c r="B24">
        <v>10</v>
      </c>
      <c r="C24" t="s">
        <v>33</v>
      </c>
      <c r="D24" t="s">
        <v>34</v>
      </c>
      <c r="E24" s="3">
        <v>10</v>
      </c>
    </row>
    <row r="25">
      <c r="A25" s="2" t="s">
        <v>239</v>
      </c>
      <c r="B25" s="2">
        <v>43.920000000000002</v>
      </c>
      <c r="C25" s="2" t="s">
        <v>40</v>
      </c>
      <c r="D25" s="2" t="s">
        <v>250</v>
      </c>
      <c r="E25" s="2">
        <f>SUM(B25:B30)</f>
        <v>238.89000000000001</v>
      </c>
    </row>
    <row r="26">
      <c r="A26" s="2" t="s">
        <v>235</v>
      </c>
      <c r="B26" s="2">
        <v>42.039999999999999</v>
      </c>
      <c r="C26" s="2" t="s">
        <v>40</v>
      </c>
      <c r="D26" s="2" t="s">
        <v>251</v>
      </c>
      <c r="E26" s="2"/>
    </row>
    <row r="27">
      <c r="A27" s="2" t="s">
        <v>242</v>
      </c>
      <c r="B27" s="2">
        <v>41.850000000000001</v>
      </c>
      <c r="C27" s="2" t="s">
        <v>40</v>
      </c>
      <c r="D27" s="2" t="s">
        <v>252</v>
      </c>
      <c r="E27" s="2"/>
    </row>
    <row r="28">
      <c r="A28" s="2" t="s">
        <v>244</v>
      </c>
      <c r="B28" s="2">
        <v>34.450000000000003</v>
      </c>
      <c r="C28" s="2" t="s">
        <v>40</v>
      </c>
      <c r="D28" s="2" t="s">
        <v>253</v>
      </c>
      <c r="E28" s="2"/>
    </row>
    <row r="29">
      <c r="A29" s="2" t="s">
        <v>254</v>
      </c>
      <c r="B29" s="2">
        <v>41.859999999999999</v>
      </c>
      <c r="C29" s="2" t="s">
        <v>40</v>
      </c>
      <c r="D29" s="2" t="s">
        <v>255</v>
      </c>
      <c r="E29" s="2"/>
    </row>
    <row r="30">
      <c r="A30" s="2" t="s">
        <v>246</v>
      </c>
      <c r="B30" s="2">
        <v>34.770000000000003</v>
      </c>
      <c r="C30" s="2" t="s">
        <v>40</v>
      </c>
      <c r="D30" s="2" t="s">
        <v>256</v>
      </c>
      <c r="E30" s="2"/>
    </row>
    <row r="31">
      <c r="A31" s="4" t="s">
        <v>257</v>
      </c>
      <c r="B31" s="4">
        <v>95.700000000000003</v>
      </c>
      <c r="C31" s="4" t="s">
        <v>77</v>
      </c>
      <c r="D31" s="4" t="s">
        <v>78</v>
      </c>
      <c r="E31" s="4">
        <f>SUM(B31:B32)</f>
        <v>209.81999999999999</v>
      </c>
    </row>
    <row r="32">
      <c r="A32" s="4" t="s">
        <v>227</v>
      </c>
      <c r="B32" s="4">
        <v>114.12</v>
      </c>
      <c r="C32" s="4" t="s">
        <v>77</v>
      </c>
      <c r="D32" s="4" t="s">
        <v>78</v>
      </c>
      <c r="E32" s="4"/>
    </row>
    <row r="33">
      <c r="A33" s="2" t="s">
        <v>233</v>
      </c>
      <c r="B33" s="2">
        <v>3</v>
      </c>
      <c r="C33" s="2" t="s">
        <v>27</v>
      </c>
      <c r="D33" s="2" t="s">
        <v>258</v>
      </c>
      <c r="E33" s="2">
        <f>SUM(B33:B39)</f>
        <v>21</v>
      </c>
    </row>
    <row r="34">
      <c r="A34" s="2" t="s">
        <v>257</v>
      </c>
      <c r="B34" s="2">
        <v>3</v>
      </c>
      <c r="C34" s="2" t="s">
        <v>27</v>
      </c>
      <c r="D34" s="2" t="s">
        <v>259</v>
      </c>
      <c r="E34" s="2"/>
    </row>
    <row r="35">
      <c r="A35" s="2" t="s">
        <v>260</v>
      </c>
      <c r="B35" s="2">
        <v>3</v>
      </c>
      <c r="C35" s="2" t="s">
        <v>27</v>
      </c>
      <c r="D35" s="2" t="s">
        <v>261</v>
      </c>
      <c r="E35" s="2"/>
    </row>
    <row r="36">
      <c r="A36" s="2" t="s">
        <v>234</v>
      </c>
      <c r="B36" s="2">
        <v>3</v>
      </c>
      <c r="C36" s="2" t="s">
        <v>27</v>
      </c>
      <c r="D36" s="2" t="s">
        <v>262</v>
      </c>
      <c r="E36" s="2"/>
    </row>
    <row r="37">
      <c r="A37" s="2" t="s">
        <v>221</v>
      </c>
      <c r="B37" s="2">
        <v>3</v>
      </c>
      <c r="C37" s="2" t="s">
        <v>27</v>
      </c>
      <c r="D37" s="2" t="s">
        <v>263</v>
      </c>
      <c r="E37" s="2"/>
    </row>
    <row r="38">
      <c r="A38" s="2" t="s">
        <v>264</v>
      </c>
      <c r="B38" s="2">
        <v>3</v>
      </c>
      <c r="C38" s="2" t="s">
        <v>27</v>
      </c>
      <c r="D38" s="2" t="s">
        <v>265</v>
      </c>
      <c r="E38" s="2"/>
    </row>
    <row r="39">
      <c r="A39" s="2" t="s">
        <v>246</v>
      </c>
      <c r="B39" s="2">
        <v>3</v>
      </c>
      <c r="C39" s="2" t="s">
        <v>27</v>
      </c>
      <c r="D39" s="2" t="s">
        <v>266</v>
      </c>
      <c r="E39" s="2"/>
    </row>
    <row r="40">
      <c r="A40" s="4" t="s">
        <v>233</v>
      </c>
      <c r="B40" s="4">
        <v>2.9900000000000002</v>
      </c>
      <c r="C40" s="4" t="s">
        <v>25</v>
      </c>
      <c r="D40" s="4" t="s">
        <v>267</v>
      </c>
      <c r="E40" s="4">
        <f>SUM(B40:B54)</f>
        <v>47.640000000000001</v>
      </c>
    </row>
    <row r="41">
      <c r="A41" s="4" t="s">
        <v>235</v>
      </c>
      <c r="B41" s="4">
        <v>2.79</v>
      </c>
      <c r="C41" s="4" t="s">
        <v>25</v>
      </c>
      <c r="D41" s="4" t="s">
        <v>268</v>
      </c>
      <c r="E41" s="4"/>
    </row>
    <row r="42">
      <c r="A42" s="4" t="s">
        <v>269</v>
      </c>
      <c r="B42" s="4">
        <v>3.1899999999999999</v>
      </c>
      <c r="C42" s="4" t="s">
        <v>25</v>
      </c>
      <c r="D42" s="4" t="s">
        <v>270</v>
      </c>
      <c r="E42" s="4"/>
    </row>
    <row r="43">
      <c r="A43" s="4" t="s">
        <v>260</v>
      </c>
      <c r="B43" s="4">
        <v>3.0899999999999999</v>
      </c>
      <c r="C43" s="4" t="s">
        <v>25</v>
      </c>
      <c r="D43" s="4" t="s">
        <v>271</v>
      </c>
      <c r="E43" s="4"/>
    </row>
    <row r="44">
      <c r="A44" s="4" t="s">
        <v>234</v>
      </c>
      <c r="B44" s="4">
        <v>2.9900000000000002</v>
      </c>
      <c r="C44" s="4" t="s">
        <v>25</v>
      </c>
      <c r="D44" s="4" t="s">
        <v>272</v>
      </c>
      <c r="E44" s="4"/>
    </row>
    <row r="45">
      <c r="A45" s="4" t="s">
        <v>242</v>
      </c>
      <c r="B45" s="4">
        <v>3.1899999999999999</v>
      </c>
      <c r="C45" s="4" t="s">
        <v>25</v>
      </c>
      <c r="D45" s="4" t="s">
        <v>273</v>
      </c>
      <c r="E45" s="4"/>
    </row>
    <row r="46">
      <c r="A46" s="4" t="s">
        <v>243</v>
      </c>
      <c r="B46" s="4">
        <v>3.1899999999999999</v>
      </c>
      <c r="C46" s="4" t="s">
        <v>25</v>
      </c>
      <c r="D46" s="4" t="s">
        <v>274</v>
      </c>
      <c r="E46" s="4"/>
    </row>
    <row r="47">
      <c r="A47" s="4" t="s">
        <v>275</v>
      </c>
      <c r="B47" s="4">
        <v>3.1899999999999999</v>
      </c>
      <c r="C47" s="4" t="s">
        <v>25</v>
      </c>
      <c r="D47" s="4" t="s">
        <v>276</v>
      </c>
      <c r="E47" s="4"/>
    </row>
    <row r="48">
      <c r="A48" s="4" t="s">
        <v>277</v>
      </c>
      <c r="B48" s="4">
        <v>1.29</v>
      </c>
      <c r="C48" s="4" t="s">
        <v>25</v>
      </c>
      <c r="D48" s="4" t="s">
        <v>278</v>
      </c>
      <c r="E48" s="4"/>
    </row>
    <row r="49">
      <c r="A49" s="4" t="s">
        <v>221</v>
      </c>
      <c r="B49" s="4">
        <v>2.9900000000000002</v>
      </c>
      <c r="C49" s="4" t="s">
        <v>25</v>
      </c>
      <c r="D49" s="4" t="s">
        <v>279</v>
      </c>
      <c r="E49" s="4"/>
    </row>
    <row r="50">
      <c r="A50" s="4" t="s">
        <v>221</v>
      </c>
      <c r="B50" s="4">
        <v>3.1899999999999999</v>
      </c>
      <c r="C50" s="4" t="s">
        <v>25</v>
      </c>
      <c r="D50" s="4" t="s">
        <v>280</v>
      </c>
      <c r="E50" s="4"/>
    </row>
    <row r="51">
      <c r="A51" s="4" t="s">
        <v>264</v>
      </c>
      <c r="B51" s="4">
        <v>2.9900000000000002</v>
      </c>
      <c r="C51" s="4" t="s">
        <v>25</v>
      </c>
      <c r="D51" s="4" t="s">
        <v>281</v>
      </c>
      <c r="E51" s="4"/>
    </row>
    <row r="52">
      <c r="A52" s="4" t="s">
        <v>245</v>
      </c>
      <c r="B52" s="4">
        <v>6.2800000000000002</v>
      </c>
      <c r="C52" s="4" t="s">
        <v>25</v>
      </c>
      <c r="D52" s="4" t="s">
        <v>282</v>
      </c>
      <c r="E52" s="4"/>
    </row>
    <row r="53">
      <c r="A53" s="4" t="s">
        <v>283</v>
      </c>
      <c r="B53" s="4">
        <v>3.0899999999999999</v>
      </c>
      <c r="C53" s="4" t="s">
        <v>25</v>
      </c>
      <c r="D53" s="4" t="s">
        <v>284</v>
      </c>
      <c r="E53" s="4"/>
    </row>
    <row r="54">
      <c r="A54" s="4" t="s">
        <v>246</v>
      </c>
      <c r="B54" s="4">
        <v>3.1899999999999999</v>
      </c>
      <c r="C54" s="4" t="s">
        <v>25</v>
      </c>
      <c r="D54" s="4" t="s">
        <v>285</v>
      </c>
      <c r="E54" s="4"/>
    </row>
    <row r="55">
      <c r="A55" t="s">
        <v>239</v>
      </c>
      <c r="B55">
        <v>10</v>
      </c>
      <c r="C55" t="s">
        <v>20</v>
      </c>
      <c r="D55" t="s">
        <v>21</v>
      </c>
      <c r="E55" s="3">
        <v>10</v>
      </c>
    </row>
    <row r="56">
      <c r="A56">
        <f>SUM(B2:B55)</f>
        <v>713.60000000000048</v>
      </c>
      <c r="E56">
        <f>SUM(E2:E55)</f>
        <v>713.60000000000002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64.04296875"/>
    <col bestFit="1" min="2" max="2" width="11.3828125"/>
    <col bestFit="1" min="3" max="3" width="25.6640625"/>
    <col bestFit="1" min="4" max="4" width="18.421875"/>
    <col bestFit="1" min="5" max="5" width="11.3828125"/>
    <col bestFit="1" min="6" max="6" width="23.3828125"/>
    <col bestFit="1" min="7" max="7" width="10.140625"/>
  </cols>
  <sheetData>
    <row r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</row>
    <row r="2">
      <c r="A2" t="s">
        <v>293</v>
      </c>
      <c r="C2" t="s">
        <v>294</v>
      </c>
      <c r="D2" t="s">
        <v>295</v>
      </c>
      <c r="F2" t="s">
        <v>296</v>
      </c>
      <c r="G2" t="s">
        <v>297</v>
      </c>
    </row>
    <row r="3">
      <c r="A3" t="s">
        <v>33</v>
      </c>
      <c r="C3" t="s">
        <v>298</v>
      </c>
      <c r="D3" t="s">
        <v>295</v>
      </c>
      <c r="F3" t="s">
        <v>299</v>
      </c>
      <c r="G3" t="s">
        <v>297</v>
      </c>
    </row>
    <row r="4">
      <c r="A4" t="s">
        <v>300</v>
      </c>
      <c r="C4" t="s">
        <v>301</v>
      </c>
      <c r="D4" t="s">
        <v>295</v>
      </c>
      <c r="F4" t="s">
        <v>302</v>
      </c>
      <c r="G4" t="s">
        <v>297</v>
      </c>
    </row>
    <row r="5">
      <c r="A5" t="s">
        <v>44</v>
      </c>
      <c r="C5" t="s">
        <v>303</v>
      </c>
      <c r="D5" t="s">
        <v>295</v>
      </c>
      <c r="F5" t="s">
        <v>304</v>
      </c>
      <c r="G5" t="s">
        <v>297</v>
      </c>
    </row>
    <row r="6">
      <c r="A6" t="s">
        <v>305</v>
      </c>
      <c r="C6" t="s">
        <v>306</v>
      </c>
      <c r="D6" t="s">
        <v>295</v>
      </c>
      <c r="F6" t="s">
        <v>307</v>
      </c>
      <c r="G6" t="s">
        <v>297</v>
      </c>
    </row>
    <row r="7">
      <c r="A7" t="s">
        <v>127</v>
      </c>
      <c r="C7" t="s">
        <v>308</v>
      </c>
      <c r="D7" t="s">
        <v>295</v>
      </c>
      <c r="F7" t="s">
        <v>309</v>
      </c>
      <c r="G7" t="s">
        <v>297</v>
      </c>
    </row>
    <row r="8">
      <c r="A8" t="s">
        <v>310</v>
      </c>
      <c r="C8" t="s">
        <v>311</v>
      </c>
      <c r="D8" t="s">
        <v>295</v>
      </c>
    </row>
    <row r="9">
      <c r="A9" t="s">
        <v>312</v>
      </c>
      <c r="C9" t="s">
        <v>313</v>
      </c>
      <c r="D9" t="s">
        <v>295</v>
      </c>
    </row>
    <row r="10">
      <c r="A10" t="s">
        <v>11</v>
      </c>
      <c r="C10" t="s">
        <v>314</v>
      </c>
      <c r="D10" t="s">
        <v>295</v>
      </c>
    </row>
    <row r="11">
      <c r="A11" t="s">
        <v>94</v>
      </c>
      <c r="C11" t="s">
        <v>315</v>
      </c>
      <c r="D11" t="s">
        <v>295</v>
      </c>
    </row>
    <row r="12">
      <c r="A12" t="s">
        <v>316</v>
      </c>
      <c r="C12" t="s">
        <v>317</v>
      </c>
      <c r="D12" t="s">
        <v>295</v>
      </c>
    </row>
    <row r="13">
      <c r="A13" t="s">
        <v>318</v>
      </c>
      <c r="C13" t="s">
        <v>319</v>
      </c>
      <c r="D13" t="s">
        <v>295</v>
      </c>
    </row>
    <row r="14">
      <c r="A14" t="s">
        <v>320</v>
      </c>
    </row>
    <row r="15">
      <c r="A15" t="s">
        <v>321</v>
      </c>
      <c r="C15" t="s">
        <v>322</v>
      </c>
      <c r="D15" t="s">
        <v>323</v>
      </c>
    </row>
    <row r="16">
      <c r="A16" t="s">
        <v>324</v>
      </c>
      <c r="C16" t="s">
        <v>325</v>
      </c>
      <c r="D16" t="s">
        <v>323</v>
      </c>
    </row>
    <row r="17">
      <c r="A17" t="s">
        <v>326</v>
      </c>
      <c r="C17" t="s">
        <v>327</v>
      </c>
      <c r="D17" t="s">
        <v>323</v>
      </c>
    </row>
    <row r="18">
      <c r="A18" t="s">
        <v>328</v>
      </c>
      <c r="C18" t="s">
        <v>329</v>
      </c>
      <c r="D18" t="s">
        <v>323</v>
      </c>
    </row>
    <row r="19">
      <c r="A19" t="s">
        <v>330</v>
      </c>
      <c r="C19" t="s">
        <v>331</v>
      </c>
      <c r="D19" t="s">
        <v>323</v>
      </c>
    </row>
    <row r="20">
      <c r="A20" t="s">
        <v>332</v>
      </c>
    </row>
    <row r="21">
      <c r="A21" t="s">
        <v>333</v>
      </c>
      <c r="C21" t="s">
        <v>334</v>
      </c>
      <c r="D21" t="s">
        <v>335</v>
      </c>
    </row>
    <row r="22">
      <c r="A22" t="s">
        <v>336</v>
      </c>
      <c r="C22" t="s">
        <v>337</v>
      </c>
      <c r="D22" t="s">
        <v>335</v>
      </c>
    </row>
    <row r="23">
      <c r="A23" t="s">
        <v>338</v>
      </c>
      <c r="C23" t="s">
        <v>339</v>
      </c>
      <c r="D23" t="s">
        <v>335</v>
      </c>
    </row>
    <row r="24">
      <c r="A24" t="s">
        <v>16</v>
      </c>
      <c r="C24" t="s">
        <v>340</v>
      </c>
      <c r="D24" t="s">
        <v>335</v>
      </c>
    </row>
    <row r="25">
      <c r="A25" t="s">
        <v>341</v>
      </c>
      <c r="C25" t="s">
        <v>342</v>
      </c>
      <c r="D25" t="s">
        <v>335</v>
      </c>
    </row>
    <row r="26">
      <c r="A26" t="s">
        <v>343</v>
      </c>
      <c r="C26" t="s">
        <v>344</v>
      </c>
      <c r="D26" t="s">
        <v>335</v>
      </c>
    </row>
    <row r="27">
      <c r="A27" t="s">
        <v>22</v>
      </c>
    </row>
    <row r="28">
      <c r="A28" t="s">
        <v>55</v>
      </c>
      <c r="C28" t="s">
        <v>345</v>
      </c>
      <c r="D28" t="s">
        <v>346</v>
      </c>
    </row>
    <row r="29">
      <c r="A29" t="s">
        <v>347</v>
      </c>
      <c r="C29" t="s">
        <v>348</v>
      </c>
      <c r="D29" t="s">
        <v>346</v>
      </c>
    </row>
    <row r="30">
      <c r="A30" t="s">
        <v>349</v>
      </c>
      <c r="C30" t="s">
        <v>350</v>
      </c>
      <c r="D30" t="s">
        <v>346</v>
      </c>
    </row>
    <row r="31">
      <c r="A31" t="s">
        <v>351</v>
      </c>
      <c r="C31" t="s">
        <v>352</v>
      </c>
      <c r="D31" t="s">
        <v>346</v>
      </c>
    </row>
    <row r="32">
      <c r="A32" t="s">
        <v>353</v>
      </c>
      <c r="C32" t="s">
        <v>354</v>
      </c>
      <c r="D32" t="s">
        <v>346</v>
      </c>
    </row>
    <row r="33">
      <c r="A33" t="s">
        <v>172</v>
      </c>
      <c r="C33" t="s">
        <v>355</v>
      </c>
      <c r="D33" t="s">
        <v>346</v>
      </c>
    </row>
    <row r="34">
      <c r="A34" t="s">
        <v>356</v>
      </c>
      <c r="C34" t="s">
        <v>357</v>
      </c>
      <c r="D34" t="s">
        <v>346</v>
      </c>
    </row>
    <row r="35">
      <c r="C35" t="s">
        <v>358</v>
      </c>
      <c r="D35" t="s">
        <v>346</v>
      </c>
    </row>
    <row r="37">
      <c r="C37" t="s">
        <v>359</v>
      </c>
      <c r="D37" t="s">
        <v>360</v>
      </c>
    </row>
    <row r="38">
      <c r="C38" t="s">
        <v>361</v>
      </c>
      <c r="D38" t="s">
        <v>360</v>
      </c>
    </row>
    <row r="39">
      <c r="C39" t="s">
        <v>362</v>
      </c>
      <c r="D39" t="s">
        <v>360</v>
      </c>
    </row>
    <row r="40">
      <c r="C40" t="s">
        <v>363</v>
      </c>
      <c r="D40" t="s">
        <v>360</v>
      </c>
    </row>
    <row r="42">
      <c r="C42" t="s">
        <v>364</v>
      </c>
      <c r="D42" t="s">
        <v>365</v>
      </c>
    </row>
    <row r="43">
      <c r="C43" t="s">
        <v>366</v>
      </c>
      <c r="D43" t="s">
        <v>365</v>
      </c>
    </row>
    <row r="44">
      <c r="C44" t="s">
        <v>367</v>
      </c>
      <c r="D44" t="s">
        <v>365</v>
      </c>
    </row>
    <row r="45">
      <c r="C45" t="s">
        <v>368</v>
      </c>
      <c r="D45" t="s">
        <v>365</v>
      </c>
    </row>
    <row r="46">
      <c r="C46" t="s">
        <v>369</v>
      </c>
      <c r="D46" t="s">
        <v>365</v>
      </c>
    </row>
    <row r="47">
      <c r="C47" t="s">
        <v>370</v>
      </c>
      <c r="D47" t="s">
        <v>365</v>
      </c>
    </row>
    <row r="49">
      <c r="C49" t="s">
        <v>371</v>
      </c>
      <c r="D49" t="s">
        <v>372</v>
      </c>
    </row>
    <row r="50">
      <c r="C50" t="s">
        <v>373</v>
      </c>
      <c r="D50" t="s">
        <v>372</v>
      </c>
    </row>
    <row r="51">
      <c r="C51" t="s">
        <v>374</v>
      </c>
      <c r="D51" t="s">
        <v>372</v>
      </c>
    </row>
    <row r="52">
      <c r="C52" t="s">
        <v>375</v>
      </c>
      <c r="D52" t="s">
        <v>372</v>
      </c>
    </row>
    <row r="53">
      <c r="C53" t="s">
        <v>376</v>
      </c>
      <c r="D53" t="s">
        <v>372</v>
      </c>
    </row>
    <row r="55">
      <c r="C55" t="s">
        <v>377</v>
      </c>
      <c r="D55" t="s">
        <v>378</v>
      </c>
    </row>
    <row r="57">
      <c r="C57" t="s">
        <v>371</v>
      </c>
      <c r="D57" t="s">
        <v>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379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2024-05-07T19:30:17Z</dcterms:created>
  <dcterms:modified xsi:type="dcterms:W3CDTF">2024-06-01T12:28:40Z</dcterms:modified>
</cp:coreProperties>
</file>